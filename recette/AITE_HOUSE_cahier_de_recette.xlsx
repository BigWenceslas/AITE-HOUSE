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Cas de test" sheetId="2" state="visible" r:id="rId2"/>
    <sheet xmlns:r="http://schemas.openxmlformats.org/officeDocument/2006/relationships" name="Anomalies" sheetId="3" state="visible" r:id="rId3"/>
    <sheet xmlns:r="http://schemas.openxmlformats.org/officeDocument/2006/relationships" name="Mode d'emploi" sheetId="4" state="visible" r:id="rId4"/>
  </sheets>
  <definedNames>
    <definedName name="_xlnm._FilterDatabase" localSheetId="1" hidden="1">'Cas de test'!$A$1:$L$147</definedName>
    <definedName name="_xlnm.Print_Titles" localSheetId="1">'Cas de test'!$1:$1</definedName>
    <definedName name="_xlnm._FilterDatabase" localSheetId="2" hidden="1">'Anomalies'!$A$1:$J$200</definedName>
    <definedName name="_xlnm.Print_Titles" localSheetId="2">'Anomalies'!$1:$1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family val="2"/>
      <color theme="1"/>
      <sz val="11"/>
      <scheme val="minor"/>
    </font>
    <font>
      <name val="Arial"/>
      <b val="1"/>
      <color rgb="000A4C5C"/>
      <sz val="18"/>
    </font>
    <font>
      <name val="Arial"/>
      <color rgb="005A6670"/>
      <sz val="11"/>
    </font>
    <font>
      <name val="Arial"/>
      <color rgb="008A949C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8A949C"/>
      <sz val="9"/>
    </font>
    <font>
      <name val="Arial"/>
      <b val="1"/>
      <color rgb="000A4C5C"/>
      <sz val="10"/>
    </font>
    <font>
      <name val="Arial"/>
      <b val="1"/>
      <color rgb="000A4C5C"/>
      <sz val="12"/>
    </font>
    <font>
      <name val="Arial"/>
      <b val="1"/>
      <color rgb="00C0392B"/>
      <sz val="12"/>
    </font>
    <font>
      <name val="Arial"/>
      <sz val="9"/>
    </font>
    <font>
      <name val="Arial"/>
      <color rgb="005A6670"/>
      <sz val="9"/>
    </font>
    <font>
      <name val="Arial"/>
      <b val="1"/>
      <color rgb="000A4C5C"/>
      <sz val="9"/>
    </font>
    <font>
      <name val="Arial"/>
      <b val="1"/>
      <color rgb="00C0392B"/>
      <sz val="9"/>
    </font>
    <font>
      <name val="Arial"/>
      <b val="1"/>
      <sz val="9"/>
    </font>
    <font>
      <name val="Arial"/>
      <b val="1"/>
      <color rgb="000A4C5C"/>
      <sz val="15"/>
    </font>
    <font>
      <name val="Arial"/>
      <b val="1"/>
      <color rgb="000F6478"/>
      <sz val="11"/>
    </font>
  </fonts>
  <fills count="8">
    <fill>
      <patternFill/>
    </fill>
    <fill>
      <patternFill patternType="gray125"/>
    </fill>
    <fill>
      <patternFill patternType="solid">
        <fgColor rgb="000F6478"/>
      </patternFill>
    </fill>
    <fill>
      <patternFill patternType="solid">
        <fgColor rgb="00FFF9D6"/>
      </patternFill>
    </fill>
    <fill>
      <patternFill patternType="solid">
        <fgColor rgb="00EEF2F4"/>
      </patternFill>
    </fill>
    <fill>
      <patternFill patternType="solid">
        <fgColor rgb="00F4CDAA"/>
      </patternFill>
    </fill>
    <fill>
      <patternFill patternType="solid">
        <fgColor rgb="000A4C5C"/>
      </patternFill>
    </fill>
    <fill>
      <patternFill patternType="solid">
        <fgColor rgb="007A2E86"/>
      </patternFill>
    </fill>
  </fills>
  <borders count="6">
    <border>
      <left/>
      <right/>
      <top/>
      <bottom/>
      <diagonal/>
    </border>
    <border>
      <left style="thin">
        <color rgb="00C9D4DA"/>
      </left>
      <right style="thin">
        <color rgb="00C9D4DA"/>
      </right>
      <top style="thin">
        <color rgb="00C9D4DA"/>
      </top>
      <bottom style="thin">
        <color rgb="00C9D4DA"/>
      </bottom>
    </border>
    <border>
      <left/>
      <right/>
      <top style="thin">
        <color rgb="00C9D4DA"/>
      </top>
      <bottom/>
      <diagonal/>
    </border>
    <border>
      <left/>
      <right style="thin">
        <color rgb="00C9D4DA"/>
      </right>
      <top style="thin">
        <color rgb="00C9D4DA"/>
      </top>
      <bottom/>
      <diagonal/>
    </border>
    <border>
      <left/>
      <right/>
      <top style="thin">
        <color rgb="00C9D4DA"/>
      </top>
      <bottom style="thin">
        <color rgb="00C9D4DA"/>
      </bottom>
      <diagonal/>
    </border>
    <border>
      <left/>
      <right style="thin">
        <color rgb="00C9D4DA"/>
      </right>
      <top style="thin">
        <color rgb="00C9D4DA"/>
      </top>
      <bottom style="thin">
        <color rgb="00C9D4DA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0" borderId="0" pivotButton="0" quotePrefix="0" xfId="0"/>
    <xf numFmtId="0" fontId="8" fillId="4" borderId="1" pivotButton="0" quotePrefix="0" xfId="0"/>
    <xf numFmtId="0" fontId="6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11" fillId="0" borderId="1" pivotButton="0" quotePrefix="0" xfId="0"/>
    <xf numFmtId="0" fontId="5" fillId="5" borderId="1" pivotButton="0" quotePrefix="0" xfId="0"/>
    <xf numFmtId="164" fontId="5" fillId="5" borderId="1" pivotButton="0" quotePrefix="0" xfId="0"/>
    <xf numFmtId="164" fontId="9" fillId="0" borderId="0" pivotButton="0" quotePrefix="0" xfId="0"/>
    <xf numFmtId="0" fontId="10" fillId="0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top"/>
    </xf>
    <xf numFmtId="0" fontId="11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11" fillId="3" borderId="1" applyAlignment="1" pivotButton="0" quotePrefix="0" xfId="0">
      <alignment vertical="top" wrapText="1"/>
    </xf>
    <xf numFmtId="0" fontId="4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16" fillId="0" borderId="0" pivotButton="0" quotePrefix="0" xfId="0"/>
    <xf numFmtId="0" fontId="6" fillId="0" borderId="0" applyAlignment="1" pivotButton="0" quotePrefix="0" xfId="0">
      <alignment vertical="top" wrapText="1"/>
    </xf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L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22" customWidth="1" min="3" max="3"/>
    <col width="12" customWidth="1" min="4" max="4"/>
    <col width="10" customWidth="1" min="5" max="5"/>
    <col width="3" customWidth="1" min="6" max="6"/>
    <col width="40" customWidth="1" min="7" max="7"/>
    <col width="26" customWidth="1" min="8" max="8"/>
    <col width="8" customWidth="1" min="9" max="9"/>
    <col width="8" customWidth="1" min="10" max="10"/>
    <col width="8" customWidth="1" min="11" max="11"/>
    <col width="14" customWidth="1" min="12" max="12"/>
  </cols>
  <sheetData>
    <row r="2">
      <c r="B2" s="1" t="inlineStr">
        <is>
          <t>CAHIER DE RECETTE — AITE HOUSE</t>
        </is>
      </c>
    </row>
    <row r="3">
      <c r="B3" s="2" t="inlineStr">
        <is>
          <t>Suite de gestion hôtelière sur Odoo 18 — 12 modules</t>
        </is>
      </c>
    </row>
    <row r="4">
      <c r="B4" s="3" t="inlineStr">
        <is>
          <t>AITE Consulting SARL · info@aite-consulting.com · (+237) 673 373 367</t>
        </is>
      </c>
    </row>
    <row r="6">
      <c r="B6" s="4" t="inlineStr">
        <is>
          <t>IDENTIFICATION DE LA RECETTE</t>
        </is>
      </c>
    </row>
    <row r="7">
      <c r="B7" s="5" t="inlineStr">
        <is>
          <t>Client / établissement</t>
        </is>
      </c>
      <c r="C7" s="6" t="inlineStr"/>
      <c r="D7" s="7" t="n"/>
      <c r="E7" s="8" t="n"/>
    </row>
    <row r="8">
      <c r="B8" s="5" t="inlineStr">
        <is>
          <t>Version testée</t>
        </is>
      </c>
      <c r="C8" s="6" t="inlineStr">
        <is>
          <t>AITE HOUSE — septembre 2026</t>
        </is>
      </c>
      <c r="D8" s="7" t="n"/>
      <c r="E8" s="8" t="n"/>
    </row>
    <row r="9">
      <c r="B9" s="5" t="inlineStr">
        <is>
          <t>Environnement</t>
        </is>
      </c>
      <c r="C9" s="6" t="inlineStr">
        <is>
          <t>Recette</t>
        </is>
      </c>
      <c r="D9" s="7" t="n"/>
      <c r="E9" s="8" t="n"/>
    </row>
    <row r="10">
      <c r="B10" s="5" t="inlineStr">
        <is>
          <t>Base de données</t>
        </is>
      </c>
      <c r="C10" s="6" t="inlineStr"/>
      <c r="D10" s="7" t="n"/>
      <c r="E10" s="8" t="n"/>
    </row>
    <row r="11">
      <c r="B11" s="5" t="inlineStr">
        <is>
          <t>Date de début</t>
        </is>
      </c>
      <c r="C11" s="6" t="inlineStr"/>
      <c r="D11" s="7" t="n"/>
      <c r="E11" s="8" t="n"/>
    </row>
    <row r="12">
      <c r="B12" s="5" t="inlineStr">
        <is>
          <t>Date de fin</t>
        </is>
      </c>
      <c r="C12" s="6" t="inlineStr"/>
      <c r="D12" s="7" t="n"/>
      <c r="E12" s="8" t="n"/>
    </row>
    <row r="13">
      <c r="B13" s="5" t="inlineStr">
        <is>
          <t>Testeur principal</t>
        </is>
      </c>
      <c r="C13" s="6" t="inlineStr"/>
      <c r="D13" s="7" t="n"/>
      <c r="E13" s="8" t="n"/>
    </row>
    <row r="14">
      <c r="B14" s="5" t="inlineStr">
        <is>
          <t>Responsable AITE</t>
        </is>
      </c>
      <c r="C14" s="6" t="inlineStr"/>
      <c r="D14" s="7" t="n"/>
      <c r="E14" s="8" t="n"/>
    </row>
    <row r="16">
      <c r="B16" s="9" t="inlineStr">
        <is>
          <t>Cellules sur fond jaune : à compléter. Saisir les résultats dans l'onglet « Cas de test ».</t>
        </is>
      </c>
    </row>
    <row r="18">
      <c r="B18" s="4" t="inlineStr">
        <is>
          <t>AVANCEMENT GLOBAL</t>
        </is>
      </c>
      <c r="G18" s="4" t="inlineStr">
        <is>
          <t>AVANCEMENT PAR DOMAINE</t>
        </is>
      </c>
    </row>
    <row r="19">
      <c r="B19" s="10" t="inlineStr">
        <is>
          <t>Statut</t>
        </is>
      </c>
      <c r="C19" s="10" t="inlineStr">
        <is>
          <t>Nombre</t>
        </is>
      </c>
      <c r="D19" s="10" t="inlineStr">
        <is>
          <t>Part</t>
        </is>
      </c>
      <c r="G19" s="10" t="inlineStr">
        <is>
          <t>Domaine</t>
        </is>
      </c>
      <c r="H19" s="10" t="inlineStr">
        <is>
          <t>Module</t>
        </is>
      </c>
      <c r="I19" s="10" t="inlineStr">
        <is>
          <t>Cas</t>
        </is>
      </c>
      <c r="J19" s="10" t="inlineStr">
        <is>
          <t>OK</t>
        </is>
      </c>
      <c r="K19" s="10" t="inlineStr">
        <is>
          <t>KO</t>
        </is>
      </c>
      <c r="L19" s="10" t="inlineStr">
        <is>
          <t>Reste à tester</t>
        </is>
      </c>
    </row>
    <row r="20">
      <c r="B20" s="11" t="inlineStr">
        <is>
          <t>À tester</t>
        </is>
      </c>
      <c r="C20" s="12">
        <f>COUNTIF('Cas de test'!$I$2:$I$200,$B20)</f>
        <v/>
      </c>
      <c r="D20" s="13">
        <f>IFERROR($C20/$C$25,0)</f>
        <v/>
      </c>
      <c r="G20" s="14" t="inlineStr">
        <is>
          <t>Hébergement — chambres &amp; séjours</t>
        </is>
      </c>
      <c r="H20" s="14" t="inlineStr">
        <is>
          <t>aite_hotel_management</t>
        </is>
      </c>
      <c r="I20" s="14">
        <f>COUNTIF('Cas de test'!$B$2:$B$200,$G20)</f>
        <v/>
      </c>
      <c r="J20" s="14">
        <f>COUNTIFS('Cas de test'!$B$2:$B$200,$G20,'Cas de test'!$I$2:$I$200,"OK")</f>
        <v/>
      </c>
      <c r="K20" s="14">
        <f>COUNTIFS('Cas de test'!$B$2:$B$200,$G20,'Cas de test'!$I$2:$I$200,"KO")</f>
        <v/>
      </c>
      <c r="L20" s="14">
        <f>COUNTIFS('Cas de test'!$B$2:$B$200,$G20,'Cas de test'!$I$2:$I$200,"À tester")</f>
        <v/>
      </c>
    </row>
    <row r="21">
      <c r="B21" s="11" t="inlineStr">
        <is>
          <t>OK</t>
        </is>
      </c>
      <c r="C21" s="12">
        <f>COUNTIF('Cas de test'!$I$2:$I$200,$B21)</f>
        <v/>
      </c>
      <c r="D21" s="13">
        <f>IFERROR($C21/$C$25,0)</f>
        <v/>
      </c>
      <c r="G21" s="14" t="inlineStr">
        <is>
          <t>Espaces &amp; prestations</t>
        </is>
      </c>
      <c r="H21" s="14" t="inlineStr">
        <is>
          <t>aite_slot_booking</t>
        </is>
      </c>
      <c r="I21" s="14">
        <f>COUNTIF('Cas de test'!$B$2:$B$200,$G21)</f>
        <v/>
      </c>
      <c r="J21" s="14">
        <f>COUNTIFS('Cas de test'!$B$2:$B$200,$G21,'Cas de test'!$I$2:$I$200,"OK")</f>
        <v/>
      </c>
      <c r="K21" s="14">
        <f>COUNTIFS('Cas de test'!$B$2:$B$200,$G21,'Cas de test'!$I$2:$I$200,"KO")</f>
        <v/>
      </c>
      <c r="L21" s="14">
        <f>COUNTIFS('Cas de test'!$B$2:$B$200,$G21,'Cas de test'!$I$2:$I$200,"À tester")</f>
        <v/>
      </c>
    </row>
    <row r="22">
      <c r="B22" s="11" t="inlineStr">
        <is>
          <t>KO</t>
        </is>
      </c>
      <c r="C22" s="12">
        <f>COUNTIF('Cas de test'!$I$2:$I$200,$B22)</f>
        <v/>
      </c>
      <c r="D22" s="13">
        <f>IFERROR($C22/$C$25,0)</f>
        <v/>
      </c>
      <c r="G22" s="14" t="inlineStr">
        <is>
          <t>Réservation en ligne</t>
        </is>
      </c>
      <c r="H22" s="14" t="inlineStr">
        <is>
          <t>aite_website_booking</t>
        </is>
      </c>
      <c r="I22" s="14">
        <f>COUNTIF('Cas de test'!$B$2:$B$200,$G22)</f>
        <v/>
      </c>
      <c r="J22" s="14">
        <f>COUNTIFS('Cas de test'!$B$2:$B$200,$G22,'Cas de test'!$I$2:$I$200,"OK")</f>
        <v/>
      </c>
      <c r="K22" s="14">
        <f>COUNTIFS('Cas de test'!$B$2:$B$200,$G22,'Cas de test'!$I$2:$I$200,"KO")</f>
        <v/>
      </c>
      <c r="L22" s="14">
        <f>COUNTIFS('Cas de test'!$B$2:$B$200,$G22,'Cas de test'!$I$2:$I$200,"À tester")</f>
        <v/>
      </c>
    </row>
    <row r="23">
      <c r="B23" s="11" t="inlineStr">
        <is>
          <t>Bloqué</t>
        </is>
      </c>
      <c r="C23" s="12">
        <f>COUNTIF('Cas de test'!$I$2:$I$200,$B23)</f>
        <v/>
      </c>
      <c r="D23" s="13">
        <f>IFERROR($C23/$C$25,0)</f>
        <v/>
      </c>
      <c r="G23" s="14" t="inlineStr">
        <is>
          <t>Point de vente &amp; caisse</t>
        </is>
      </c>
      <c r="H23" s="14" t="inlineStr">
        <is>
          <t>aite_pos_analytics</t>
        </is>
      </c>
      <c r="I23" s="14">
        <f>COUNTIF('Cas de test'!$B$2:$B$200,$G23)</f>
        <v/>
      </c>
      <c r="J23" s="14">
        <f>COUNTIFS('Cas de test'!$B$2:$B$200,$G23,'Cas de test'!$I$2:$I$200,"OK")</f>
        <v/>
      </c>
      <c r="K23" s="14">
        <f>COUNTIFS('Cas de test'!$B$2:$B$200,$G23,'Cas de test'!$I$2:$I$200,"KO")</f>
        <v/>
      </c>
      <c r="L23" s="14">
        <f>COUNTIFS('Cas de test'!$B$2:$B$200,$G23,'Cas de test'!$I$2:$I$200,"À tester")</f>
        <v/>
      </c>
    </row>
    <row r="24">
      <c r="B24" s="11" t="inlineStr">
        <is>
          <t>Non applicable</t>
        </is>
      </c>
      <c r="C24" s="12">
        <f>COUNTIF('Cas de test'!$I$2:$I$200,$B24)</f>
        <v/>
      </c>
      <c r="D24" s="13">
        <f>IFERROR($C24/$C$25,0)</f>
        <v/>
      </c>
      <c r="G24" s="14" t="inlineStr">
        <is>
          <t>Note de chambre</t>
        </is>
      </c>
      <c r="H24" s="14" t="inlineStr">
        <is>
          <t>aite_hotel_pos_link</t>
        </is>
      </c>
      <c r="I24" s="14">
        <f>COUNTIF('Cas de test'!$B$2:$B$200,$G24)</f>
        <v/>
      </c>
      <c r="J24" s="14">
        <f>COUNTIFS('Cas de test'!$B$2:$B$200,$G24,'Cas de test'!$I$2:$I$200,"OK")</f>
        <v/>
      </c>
      <c r="K24" s="14">
        <f>COUNTIFS('Cas de test'!$B$2:$B$200,$G24,'Cas de test'!$I$2:$I$200,"KO")</f>
        <v/>
      </c>
      <c r="L24" s="14">
        <f>COUNTIFS('Cas de test'!$B$2:$B$200,$G24,'Cas de test'!$I$2:$I$200,"À tester")</f>
        <v/>
      </c>
    </row>
    <row r="25">
      <c r="B25" s="15" t="inlineStr">
        <is>
          <t>TOTAL</t>
        </is>
      </c>
      <c r="C25" s="15">
        <f>COUNTA('Cas de test'!$A$2:$A$200)</f>
        <v/>
      </c>
      <c r="D25" s="16">
        <f>IFERROR(SUM($D$20:$D$24),0)</f>
        <v/>
      </c>
      <c r="G25" s="14" t="inlineStr">
        <is>
          <t>Crédit clients (ardoises)</t>
        </is>
      </c>
      <c r="H25" s="14" t="inlineStr">
        <is>
          <t>aite_pos_credit</t>
        </is>
      </c>
      <c r="I25" s="14">
        <f>COUNTIF('Cas de test'!$B$2:$B$200,$G25)</f>
        <v/>
      </c>
      <c r="J25" s="14">
        <f>COUNTIFS('Cas de test'!$B$2:$B$200,$G25,'Cas de test'!$I$2:$I$200,"OK")</f>
        <v/>
      </c>
      <c r="K25" s="14">
        <f>COUNTIFS('Cas de test'!$B$2:$B$200,$G25,'Cas de test'!$I$2:$I$200,"KO")</f>
        <v/>
      </c>
      <c r="L25" s="14">
        <f>COUNTIFS('Cas de test'!$B$2:$B$200,$G25,'Cas de test'!$I$2:$I$200,"À tester")</f>
        <v/>
      </c>
    </row>
    <row r="26">
      <c r="G26" s="14" t="inlineStr">
        <is>
          <t>Fidélité</t>
        </is>
      </c>
      <c r="H26" s="14" t="inlineStr">
        <is>
          <t>aite_loyalty</t>
        </is>
      </c>
      <c r="I26" s="14">
        <f>COUNTIF('Cas de test'!$B$2:$B$200,$G26)</f>
        <v/>
      </c>
      <c r="J26" s="14">
        <f>COUNTIFS('Cas de test'!$B$2:$B$200,$G26,'Cas de test'!$I$2:$I$200,"OK")</f>
        <v/>
      </c>
      <c r="K26" s="14">
        <f>COUNTIFS('Cas de test'!$B$2:$B$200,$G26,'Cas de test'!$I$2:$I$200,"KO")</f>
        <v/>
      </c>
      <c r="L26" s="14">
        <f>COUNTIFS('Cas de test'!$B$2:$B$200,$G26,'Cas de test'!$I$2:$I$200,"À tester")</f>
        <v/>
      </c>
    </row>
    <row r="27">
      <c r="B27" s="5" t="inlineStr">
        <is>
          <t>Taux de réussite (OK / testés)</t>
        </is>
      </c>
      <c r="C27" s="17">
        <f>IFERROR($C$21/($C$21+$C$22),0)</f>
        <v/>
      </c>
      <c r="G27" s="14" t="inlineStr">
        <is>
          <t>Stock &amp; inventaire</t>
        </is>
      </c>
      <c r="H27" s="14" t="inlineStr">
        <is>
          <t>aite_stock_dashboard</t>
        </is>
      </c>
      <c r="I27" s="14">
        <f>COUNTIF('Cas de test'!$B$2:$B$200,$G27)</f>
        <v/>
      </c>
      <c r="J27" s="14">
        <f>COUNTIFS('Cas de test'!$B$2:$B$200,$G27,'Cas de test'!$I$2:$I$200,"OK")</f>
        <v/>
      </c>
      <c r="K27" s="14">
        <f>COUNTIFS('Cas de test'!$B$2:$B$200,$G27,'Cas de test'!$I$2:$I$200,"KO")</f>
        <v/>
      </c>
      <c r="L27" s="14">
        <f>COUNTIFS('Cas de test'!$B$2:$B$200,$G27,'Cas de test'!$I$2:$I$200,"À tester")</f>
        <v/>
      </c>
    </row>
    <row r="28">
      <c r="B28" s="5" t="inlineStr">
        <is>
          <t>Cas critiques en échec (bloquants)</t>
        </is>
      </c>
      <c r="C28" s="18">
        <f>COUNTIFS('Cas de test'!$D$2:$D$200,"1 - Critique",'Cas de test'!$I$2:$I$200,"KO")</f>
        <v/>
      </c>
      <c r="G28" s="14" t="inlineStr">
        <is>
          <t>Achats &amp; fournisseurs</t>
        </is>
      </c>
      <c r="H28" s="14" t="inlineStr">
        <is>
          <t>aite_purchase_dashboard</t>
        </is>
      </c>
      <c r="I28" s="14">
        <f>COUNTIF('Cas de test'!$B$2:$B$200,$G28)</f>
        <v/>
      </c>
      <c r="J28" s="14">
        <f>COUNTIFS('Cas de test'!$B$2:$B$200,$G28,'Cas de test'!$I$2:$I$200,"OK")</f>
        <v/>
      </c>
      <c r="K28" s="14">
        <f>COUNTIFS('Cas de test'!$B$2:$B$200,$G28,'Cas de test'!$I$2:$I$200,"KO")</f>
        <v/>
      </c>
      <c r="L28" s="14">
        <f>COUNTIFS('Cas de test'!$B$2:$B$200,$G28,'Cas de test'!$I$2:$I$200,"À tester")</f>
        <v/>
      </c>
    </row>
    <row r="29">
      <c r="G29" s="14" t="inlineStr">
        <is>
          <t>Pilotage — vue Direction</t>
        </is>
      </c>
      <c r="H29" s="14" t="inlineStr">
        <is>
          <t>aite_direction_dashboard</t>
        </is>
      </c>
      <c r="I29" s="14">
        <f>COUNTIF('Cas de test'!$B$2:$B$200,$G29)</f>
        <v/>
      </c>
      <c r="J29" s="14">
        <f>COUNTIFS('Cas de test'!$B$2:$B$200,$G29,'Cas de test'!$I$2:$I$200,"OK")</f>
        <v/>
      </c>
      <c r="K29" s="14">
        <f>COUNTIFS('Cas de test'!$B$2:$B$200,$G29,'Cas de test'!$I$2:$I$200,"KO")</f>
        <v/>
      </c>
      <c r="L29" s="14">
        <f>COUNTIFS('Cas de test'!$B$2:$B$200,$G29,'Cas de test'!$I$2:$I$200,"À tester")</f>
        <v/>
      </c>
    </row>
    <row r="30">
      <c r="G30" s="14" t="inlineStr">
        <is>
          <t>Tableau de bord exécutif</t>
        </is>
      </c>
      <c r="H30" s="14" t="inlineStr">
        <is>
          <t>aite_exec_dashboard</t>
        </is>
      </c>
      <c r="I30" s="14">
        <f>COUNTIF('Cas de test'!$B$2:$B$200,$G30)</f>
        <v/>
      </c>
      <c r="J30" s="14">
        <f>COUNTIFS('Cas de test'!$B$2:$B$200,$G30,'Cas de test'!$I$2:$I$200,"OK")</f>
        <v/>
      </c>
      <c r="K30" s="14">
        <f>COUNTIFS('Cas de test'!$B$2:$B$200,$G30,'Cas de test'!$I$2:$I$200,"KO")</f>
        <v/>
      </c>
      <c r="L30" s="14">
        <f>COUNTIFS('Cas de test'!$B$2:$B$200,$G30,'Cas de test'!$I$2:$I$200,"À tester")</f>
        <v/>
      </c>
    </row>
    <row r="31">
      <c r="G31" s="14" t="inlineStr">
        <is>
          <t>Jeu de démonstration</t>
        </is>
      </c>
      <c r="H31" s="14" t="inlineStr">
        <is>
          <t>aite_demo_data</t>
        </is>
      </c>
      <c r="I31" s="14">
        <f>COUNTIF('Cas de test'!$B$2:$B$200,$G31)</f>
        <v/>
      </c>
      <c r="J31" s="14">
        <f>COUNTIFS('Cas de test'!$B$2:$B$200,$G31,'Cas de test'!$I$2:$I$200,"OK")</f>
        <v/>
      </c>
      <c r="K31" s="14">
        <f>COUNTIFS('Cas de test'!$B$2:$B$200,$G31,'Cas de test'!$I$2:$I$200,"KO")</f>
        <v/>
      </c>
      <c r="L31" s="14">
        <f>COUNTIFS('Cas de test'!$B$2:$B$200,$G31,'Cas de test'!$I$2:$I$200,"À tester")</f>
        <v/>
      </c>
    </row>
    <row r="32">
      <c r="G32" s="14" t="inlineStr">
        <is>
          <t>Transverse — sécurité, données, exploitation</t>
        </is>
      </c>
      <c r="H32" s="14" t="inlineStr">
        <is>
          <t>tous modules</t>
        </is>
      </c>
      <c r="I32" s="14">
        <f>COUNTIF('Cas de test'!$B$2:$B$200,$G32)</f>
        <v/>
      </c>
      <c r="J32" s="14">
        <f>COUNTIFS('Cas de test'!$B$2:$B$200,$G32,'Cas de test'!$I$2:$I$200,"OK")</f>
        <v/>
      </c>
      <c r="K32" s="14">
        <f>COUNTIFS('Cas de test'!$B$2:$B$200,$G32,'Cas de test'!$I$2:$I$200,"KO")</f>
        <v/>
      </c>
      <c r="L32" s="14">
        <f>COUNTIFS('Cas de test'!$B$2:$B$200,$G32,'Cas de test'!$I$2:$I$200,"À tester")</f>
        <v/>
      </c>
    </row>
    <row r="33">
      <c r="G33" s="14" t="inlineStr">
        <is>
          <t>Taxe de séjour</t>
        </is>
      </c>
      <c r="H33" s="14" t="inlineStr">
        <is>
          <t>aite_city_tax</t>
        </is>
      </c>
      <c r="I33" s="14">
        <f>COUNTIF('Cas de test'!$B$2:$B$200,$G33)</f>
        <v/>
      </c>
      <c r="J33" s="14">
        <f>COUNTIFS('Cas de test'!$B$2:$B$200,$G33,'Cas de test'!$I$2:$I$200,"OK")</f>
        <v/>
      </c>
      <c r="K33" s="14">
        <f>COUNTIFS('Cas de test'!$B$2:$B$200,$G33,'Cas de test'!$I$2:$I$200,"KO")</f>
        <v/>
      </c>
      <c r="L33" s="14">
        <f>COUNTIFS('Cas de test'!$B$2:$B$200,$G33,'Cas de test'!$I$2:$I$200,"À tester")</f>
        <v/>
      </c>
    </row>
    <row r="34">
      <c r="G34" s="14" t="inlineStr">
        <is>
          <t>Registre des clients &amp; statistiques</t>
        </is>
      </c>
      <c r="H34" s="14" t="inlineStr">
        <is>
          <t>aite_guest_registry</t>
        </is>
      </c>
      <c r="I34" s="14">
        <f>COUNTIF('Cas de test'!$B$2:$B$200,$G34)</f>
        <v/>
      </c>
      <c r="J34" s="14">
        <f>COUNTIFS('Cas de test'!$B$2:$B$200,$G34,'Cas de test'!$I$2:$I$200,"OK")</f>
        <v/>
      </c>
      <c r="K34" s="14">
        <f>COUNTIFS('Cas de test'!$B$2:$B$200,$G34,'Cas de test'!$I$2:$I$200,"KO")</f>
        <v/>
      </c>
      <c r="L34" s="14">
        <f>COUNTIFS('Cas de test'!$B$2:$B$200,$G34,'Cas de test'!$I$2:$I$200,"À tester")</f>
        <v/>
      </c>
    </row>
    <row r="35">
      <c r="G35" s="14" t="inlineStr">
        <is>
          <t>Gouvernante, inspections &amp; maintenance</t>
        </is>
      </c>
      <c r="H35" s="14" t="inlineStr">
        <is>
          <t>aite_housekeeping</t>
        </is>
      </c>
      <c r="I35" s="14">
        <f>COUNTIF('Cas de test'!$B$2:$B$200,$G35)</f>
        <v/>
      </c>
      <c r="J35" s="14">
        <f>COUNTIFS('Cas de test'!$B$2:$B$200,$G35,'Cas de test'!$I$2:$I$200,"OK")</f>
        <v/>
      </c>
      <c r="K35" s="14">
        <f>COUNTIFS('Cas de test'!$B$2:$B$200,$G35,'Cas de test'!$I$2:$I$200,"KO")</f>
        <v/>
      </c>
      <c r="L35" s="14">
        <f>COUNTIFS('Cas de test'!$B$2:$B$200,$G35,'Cas de test'!$I$2:$I$200,"À tester")</f>
        <v/>
      </c>
    </row>
    <row r="36">
      <c r="G36" s="14" t="inlineStr">
        <is>
          <t>Indicateurs hôteliers — RevPAR, pickup, pace</t>
        </is>
      </c>
      <c r="H36" s="14" t="inlineStr">
        <is>
          <t>aite_exec_dashboard, aite_direction_dashboard</t>
        </is>
      </c>
      <c r="I36" s="14">
        <f>COUNTIF('Cas de test'!$B$2:$B$200,$G36)</f>
        <v/>
      </c>
      <c r="J36" s="14">
        <f>COUNTIFS('Cas de test'!$B$2:$B$200,$G36,'Cas de test'!$I$2:$I$200,"OK")</f>
        <v/>
      </c>
      <c r="K36" s="14">
        <f>COUNTIFS('Cas de test'!$B$2:$B$200,$G36,'Cas de test'!$I$2:$I$200,"KO")</f>
        <v/>
      </c>
      <c r="L36" s="14">
        <f>COUNTIFS('Cas de test'!$B$2:$B$200,$G36,'Cas de test'!$I$2:$I$200,"À tester")</f>
        <v/>
      </c>
    </row>
  </sheetData>
  <mergeCells count="11">
    <mergeCell ref="B18:E18"/>
    <mergeCell ref="C11:E11"/>
    <mergeCell ref="C14:E14"/>
    <mergeCell ref="C13:E13"/>
    <mergeCell ref="B6:E6"/>
    <mergeCell ref="C8:E8"/>
    <mergeCell ref="C9:E9"/>
    <mergeCell ref="G18:L18"/>
    <mergeCell ref="C7:E7"/>
    <mergeCell ref="C12:E12"/>
    <mergeCell ref="C10:E10"/>
  </mergeCells>
  <printOptions horizontalCentered="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4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24" customWidth="1" min="3" max="3"/>
    <col width="12" customWidth="1" min="4" max="4"/>
    <col width="34" customWidth="1" min="5" max="5"/>
    <col width="38" customWidth="1" min="6" max="6"/>
    <col width="52" customWidth="1" min="7" max="7"/>
    <col width="52" customWidth="1" min="8" max="8"/>
    <col width="14" customWidth="1" min="9" max="9"/>
    <col width="14" customWidth="1" min="10" max="10"/>
    <col width="12" customWidth="1" min="11" max="11"/>
    <col width="34" customWidth="1" min="12" max="12"/>
  </cols>
  <sheetData>
    <row r="1" ht="28" customHeight="1">
      <c r="A1" s="19" t="inlineStr">
        <is>
          <t>ID</t>
        </is>
      </c>
      <c r="B1" s="19" t="inlineStr">
        <is>
          <t>Domaine</t>
        </is>
      </c>
      <c r="C1" s="19" t="inlineStr">
        <is>
          <t>Module</t>
        </is>
      </c>
      <c r="D1" s="19" t="inlineStr">
        <is>
          <t>Priorité</t>
        </is>
      </c>
      <c r="E1" s="19" t="inlineStr">
        <is>
          <t>Pré-requis</t>
        </is>
      </c>
      <c r="F1" s="19" t="inlineStr">
        <is>
          <t>Scénario</t>
        </is>
      </c>
      <c r="G1" s="19" t="inlineStr">
        <is>
          <t>Étapes</t>
        </is>
      </c>
      <c r="H1" s="19" t="inlineStr">
        <is>
          <t>Résultat attendu</t>
        </is>
      </c>
      <c r="I1" s="19" t="inlineStr">
        <is>
          <t>Statut</t>
        </is>
      </c>
      <c r="J1" s="19" t="inlineStr">
        <is>
          <t>Testé par</t>
        </is>
      </c>
      <c r="K1" s="19" t="inlineStr">
        <is>
          <t>Date</t>
        </is>
      </c>
      <c r="L1" s="19" t="inlineStr">
        <is>
          <t>Anomalie / commentaire</t>
        </is>
      </c>
    </row>
    <row r="2" ht="58" customHeight="1">
      <c r="A2" s="20" t="inlineStr">
        <is>
          <t>A01</t>
        </is>
      </c>
      <c r="B2" s="21" t="inlineStr">
        <is>
          <t>Hébergement — chambres &amp; séjours</t>
        </is>
      </c>
      <c r="C2" s="21" t="inlineStr">
        <is>
          <t>aite_hotel_management</t>
        </is>
      </c>
      <c r="D2" s="22" t="inlineStr">
        <is>
          <t>1 - Critique</t>
        </is>
      </c>
      <c r="E2" s="21" t="inlineStr">
        <is>
          <t>Base installée, 1 type de chambre créé</t>
        </is>
      </c>
      <c r="F2" s="23" t="inlineStr">
        <is>
          <t>Créer une chambre et la rendre réservable</t>
        </is>
      </c>
      <c r="G2" s="21" t="inlineStr">
        <is>
          <t>1. Hôtel → Configuration → Chambres → Créer.
2. Renseigner numéro, type, capacité, tarif de base en FCFA.
3. Enregistrer, puis ouvrir le planning.</t>
        </is>
      </c>
      <c r="H2" s="21" t="inlineStr">
        <is>
          <t>La chambre est enregistrée sans erreur et apparaît dans le planning, en statut Libre sur toute la période.</t>
        </is>
      </c>
      <c r="I2" s="24" t="inlineStr">
        <is>
          <t>À tester</t>
        </is>
      </c>
      <c r="J2" s="24" t="inlineStr"/>
      <c r="K2" s="24" t="inlineStr"/>
      <c r="L2" s="24" t="inlineStr"/>
    </row>
    <row r="3" ht="58" customHeight="1">
      <c r="A3" s="20" t="inlineStr">
        <is>
          <t>A02</t>
        </is>
      </c>
      <c r="B3" s="21" t="inlineStr">
        <is>
          <t>Hébergement — chambres &amp; séjours</t>
        </is>
      </c>
      <c r="C3" s="21" t="inlineStr">
        <is>
          <t>aite_hotel_management</t>
        </is>
      </c>
      <c r="D3" s="22" t="inlineStr">
        <is>
          <t>1 - Critique</t>
        </is>
      </c>
      <c r="E3" s="21" t="inlineStr">
        <is>
          <t>Au moins 2 chambres disponibles</t>
        </is>
      </c>
      <c r="F3" s="23" t="inlineStr">
        <is>
          <t>Créer une réservation directe (walk-in)</t>
        </is>
      </c>
      <c r="G3" s="21" t="inlineStr">
        <is>
          <t>1. Hôtel → Réservations → Créer.
2. Sélectionner client, chambre, dates d'arrivée et de départ.
3. Confirmer la réservation.</t>
        </is>
      </c>
      <c r="H3" s="21" t="inlineStr">
        <is>
          <t>La réservation passe en statut Confirmée, le nombre de nuits et le montant total sont calculés automatiquement en FCFA.</t>
        </is>
      </c>
      <c r="I3" s="24" t="inlineStr">
        <is>
          <t>À tester</t>
        </is>
      </c>
      <c r="J3" s="24" t="inlineStr"/>
      <c r="K3" s="24" t="inlineStr"/>
      <c r="L3" s="24" t="inlineStr"/>
    </row>
    <row r="4" ht="58" customHeight="1">
      <c r="A4" s="20" t="inlineStr">
        <is>
          <t>A03</t>
        </is>
      </c>
      <c r="B4" s="21" t="inlineStr">
        <is>
          <t>Hébergement — chambres &amp; séjours</t>
        </is>
      </c>
      <c r="C4" s="21" t="inlineStr">
        <is>
          <t>aite_hotel_management</t>
        </is>
      </c>
      <c r="D4" s="22" t="inlineStr">
        <is>
          <t>1 - Critique</t>
        </is>
      </c>
      <c r="E4" s="21" t="inlineStr">
        <is>
          <t>Une réservation confirmée existe sur la période</t>
        </is>
      </c>
      <c r="F4" s="23" t="inlineStr">
        <is>
          <t>Empêcher la double réservation d'une même chambre</t>
        </is>
      </c>
      <c r="G4" s="21" t="inlineStr">
        <is>
          <t>1. Créer une seconde réservation sur la même chambre avec des dates qui se chevauchent.
2. Tenter de confirmer.</t>
        </is>
      </c>
      <c r="H4" s="21" t="inlineStr">
        <is>
          <t>Le système refuse la confirmation ou signale explicitement le conflit ; la chambre n'est pas réservée deux fois.</t>
        </is>
      </c>
      <c r="I4" s="24" t="inlineStr">
        <is>
          <t>À tester</t>
        </is>
      </c>
      <c r="J4" s="24" t="inlineStr"/>
      <c r="K4" s="24" t="inlineStr"/>
      <c r="L4" s="24" t="inlineStr"/>
    </row>
    <row r="5" ht="58" customHeight="1">
      <c r="A5" s="20" t="inlineStr">
        <is>
          <t>A04</t>
        </is>
      </c>
      <c r="B5" s="21" t="inlineStr">
        <is>
          <t>Hébergement — chambres &amp; séjours</t>
        </is>
      </c>
      <c r="C5" s="21" t="inlineStr">
        <is>
          <t>aite_hotel_management</t>
        </is>
      </c>
      <c r="D5" s="22" t="inlineStr">
        <is>
          <t>1 - Critique</t>
        </is>
      </c>
      <c r="E5" s="21" t="inlineStr">
        <is>
          <t>Réservation confirmée du jour</t>
        </is>
      </c>
      <c r="F5" s="23" t="inlineStr">
        <is>
          <t>Effectuer un check-in</t>
        </is>
      </c>
      <c r="G5" s="21" t="inlineStr">
        <is>
          <t>1. Ouvrir la réservation du jour.
2. Cliquer sur Check-in.</t>
        </is>
      </c>
      <c r="H5" s="21" t="inlineStr">
        <is>
          <t>Le statut passe à Arrivée / En cours, la chambre devient Occupée dans le planning, et le folio du séjour est créé.</t>
        </is>
      </c>
      <c r="I5" s="24" t="inlineStr">
        <is>
          <t>À tester</t>
        </is>
      </c>
      <c r="J5" s="24" t="inlineStr"/>
      <c r="K5" s="24" t="inlineStr"/>
      <c r="L5" s="24" t="inlineStr"/>
    </row>
    <row r="6" ht="58" customHeight="1">
      <c r="A6" s="20" t="inlineStr">
        <is>
          <t>A05</t>
        </is>
      </c>
      <c r="B6" s="21" t="inlineStr">
        <is>
          <t>Hébergement — chambres &amp; séjours</t>
        </is>
      </c>
      <c r="C6" s="21" t="inlineStr">
        <is>
          <t>aite_hotel_management</t>
        </is>
      </c>
      <c r="D6" s="22" t="inlineStr">
        <is>
          <t>1 - Critique</t>
        </is>
      </c>
      <c r="E6" s="21" t="inlineStr">
        <is>
          <t>Séjour en cours avec folio ouvert</t>
        </is>
      </c>
      <c r="F6" s="23" t="inlineStr">
        <is>
          <t>Ajouter un extra au folio (petit-déjeuner)</t>
        </is>
      </c>
      <c r="G6" s="21" t="inlineStr">
        <is>
          <t>1. Ouvrir le folio du séjour.
2. Ajouter la ligne « Petit-déjeuner » × 2.
3. Enregistrer.</t>
        </is>
      </c>
      <c r="H6" s="21" t="inlineStr">
        <is>
          <t>La ligne s'ajoute avec sa date et son montant ; le total du folio est recalculé immédiatement.</t>
        </is>
      </c>
      <c r="I6" s="24" t="inlineStr">
        <is>
          <t>À tester</t>
        </is>
      </c>
      <c r="J6" s="24" t="inlineStr"/>
      <c r="K6" s="24" t="inlineStr"/>
      <c r="L6" s="24" t="inlineStr"/>
    </row>
    <row r="7" ht="58" customHeight="1">
      <c r="A7" s="20" t="inlineStr">
        <is>
          <t>A06</t>
        </is>
      </c>
      <c r="B7" s="21" t="inlineStr">
        <is>
          <t>Hébergement — chambres &amp; séjours</t>
        </is>
      </c>
      <c r="C7" s="21" t="inlineStr">
        <is>
          <t>aite_hotel_management</t>
        </is>
      </c>
      <c r="D7" s="22" t="inlineStr">
        <is>
          <t>1 - Critique</t>
        </is>
      </c>
      <c r="E7" s="21" t="inlineStr">
        <is>
          <t>Séjour en cours, folio alimenté</t>
        </is>
      </c>
      <c r="F7" s="23" t="inlineStr">
        <is>
          <t>Effectuer un check-out et facturer le séjour</t>
        </is>
      </c>
      <c r="G7" s="21" t="inlineStr">
        <is>
          <t>1. Ouvrir la réservation.
2. Cliquer sur Check-out.
3. Générer la facture.</t>
        </is>
      </c>
      <c r="H7" s="21" t="inlineStr">
        <is>
          <t>Une facture unique reprend nuitées et extras, la chambre redevient Libre, et le séjour passe en statut Terminé.</t>
        </is>
      </c>
      <c r="I7" s="24" t="inlineStr">
        <is>
          <t>À tester</t>
        </is>
      </c>
      <c r="J7" s="24" t="inlineStr"/>
      <c r="K7" s="24" t="inlineStr"/>
      <c r="L7" s="24" t="inlineStr"/>
    </row>
    <row r="8" ht="58" customHeight="1">
      <c r="A8" s="20" t="inlineStr">
        <is>
          <t>A07</t>
        </is>
      </c>
      <c r="B8" s="21" t="inlineStr">
        <is>
          <t>Hébergement — chambres &amp; séjours</t>
        </is>
      </c>
      <c r="C8" s="21" t="inlineStr">
        <is>
          <t>aite_hotel_management</t>
        </is>
      </c>
      <c r="D8" s="21" t="inlineStr">
        <is>
          <t>2 - Majeur</t>
        </is>
      </c>
      <c r="E8" s="21" t="inlineStr">
        <is>
          <t>Réservation confirmée, acompte prévu</t>
        </is>
      </c>
      <c r="F8" s="23" t="inlineStr">
        <is>
          <t>Enregistrer un acompte et le déduire à la facturation</t>
        </is>
      </c>
      <c r="G8" s="21" t="inlineStr">
        <is>
          <t>1. Saisir un acompte de 20 000 F sur la réservation.
2. Aller jusqu'au check-out et générer la facture.</t>
        </is>
      </c>
      <c r="H8" s="21" t="inlineStr">
        <is>
          <t>L'acompte apparaît sur le folio et est déduit du net à payer ; le solde restant dû est exact.</t>
        </is>
      </c>
      <c r="I8" s="24" t="inlineStr">
        <is>
          <t>À tester</t>
        </is>
      </c>
      <c r="J8" s="24" t="inlineStr"/>
      <c r="K8" s="24" t="inlineStr"/>
      <c r="L8" s="24" t="inlineStr"/>
    </row>
    <row r="9" ht="58" customHeight="1">
      <c r="A9" s="20" t="inlineStr">
        <is>
          <t>A08</t>
        </is>
      </c>
      <c r="B9" s="21" t="inlineStr">
        <is>
          <t>Hébergement — chambres &amp; séjours</t>
        </is>
      </c>
      <c r="C9" s="21" t="inlineStr">
        <is>
          <t>aite_hotel_management</t>
        </is>
      </c>
      <c r="D9" s="21" t="inlineStr">
        <is>
          <t>2 - Majeur</t>
        </is>
      </c>
      <c r="E9" s="21" t="inlineStr">
        <is>
          <t>Réservation confirmée</t>
        </is>
      </c>
      <c r="F9" s="23" t="inlineStr">
        <is>
          <t>Éditer une proforma avant le départ</t>
        </is>
      </c>
      <c r="G9" s="21" t="inlineStr">
        <is>
          <t>1. Ouvrir le séjour en cours.
2. Demander l'impression de la proforma.</t>
        </is>
      </c>
      <c r="H9" s="21" t="inlineStr">
        <is>
          <t>La proforma s'édite en PDF avec l'en-tête de l'établissement, les lignes du folio et les montants en FCFA.</t>
        </is>
      </c>
      <c r="I9" s="24" t="inlineStr">
        <is>
          <t>À tester</t>
        </is>
      </c>
      <c r="J9" s="24" t="inlineStr"/>
      <c r="K9" s="24" t="inlineStr"/>
      <c r="L9" s="24" t="inlineStr"/>
    </row>
    <row r="10" ht="58" customHeight="1">
      <c r="A10" s="20" t="inlineStr">
        <is>
          <t>A09</t>
        </is>
      </c>
      <c r="B10" s="21" t="inlineStr">
        <is>
          <t>Hébergement — chambres &amp; séjours</t>
        </is>
      </c>
      <c r="C10" s="21" t="inlineStr">
        <is>
          <t>aite_hotel_management</t>
        </is>
      </c>
      <c r="D10" s="21" t="inlineStr">
        <is>
          <t>2 - Majeur</t>
        </is>
      </c>
      <c r="E10" s="21" t="inlineStr">
        <is>
          <t>Plusieurs chambres, dont une en maintenance</t>
        </is>
      </c>
      <c r="F10" s="23" t="inlineStr">
        <is>
          <t>Déclarer une chambre hors service</t>
        </is>
      </c>
      <c r="G10" s="21" t="inlineStr">
        <is>
          <t>1. Passer une chambre en statut Hors service / Maintenance sur une période.
2. Consulter le planning.</t>
        </is>
      </c>
      <c r="H10" s="21" t="inlineStr">
        <is>
          <t>La chambre apparaît en Hors service sur la période et n'est plus proposée à la réservation.</t>
        </is>
      </c>
      <c r="I10" s="24" t="inlineStr">
        <is>
          <t>À tester</t>
        </is>
      </c>
      <c r="J10" s="24" t="inlineStr"/>
      <c r="K10" s="24" t="inlineStr"/>
      <c r="L10" s="24" t="inlineStr"/>
    </row>
    <row r="11" ht="58" customHeight="1">
      <c r="A11" s="20" t="inlineStr">
        <is>
          <t>A10</t>
        </is>
      </c>
      <c r="B11" s="21" t="inlineStr">
        <is>
          <t>Hébergement — chambres &amp; séjours</t>
        </is>
      </c>
      <c r="C11" s="21" t="inlineStr">
        <is>
          <t>aite_hotel_management</t>
        </is>
      </c>
      <c r="D11" s="21" t="inlineStr">
        <is>
          <t>2 - Majeur</t>
        </is>
      </c>
      <c r="E11" s="21" t="inlineStr">
        <is>
          <t>Journée avec arrivées, départs et présents</t>
        </is>
      </c>
      <c r="F11" s="23" t="inlineStr">
        <is>
          <t>Consulter la main courante du jour</t>
        </is>
      </c>
      <c r="G11" s="21" t="inlineStr">
        <is>
          <t>1. Ouvrir la main courante / photo du jour.</t>
        </is>
      </c>
      <c r="H11" s="21" t="inlineStr">
        <is>
          <t>Les compteurs Présents, Arrivées, Départs et Hors service correspondent exactement à la réalité du planning.</t>
        </is>
      </c>
      <c r="I11" s="24" t="inlineStr">
        <is>
          <t>À tester</t>
        </is>
      </c>
      <c r="J11" s="24" t="inlineStr"/>
      <c r="K11" s="24" t="inlineStr"/>
      <c r="L11" s="24" t="inlineStr"/>
    </row>
    <row r="12" ht="58" customHeight="1">
      <c r="A12" s="20" t="inlineStr">
        <is>
          <t>A11</t>
        </is>
      </c>
      <c r="B12" s="21" t="inlineStr">
        <is>
          <t>Hébergement — chambres &amp; séjours</t>
        </is>
      </c>
      <c r="C12" s="21" t="inlineStr">
        <is>
          <t>aite_hotel_management</t>
        </is>
      </c>
      <c r="D12" s="21" t="inlineStr">
        <is>
          <t>2 - Majeur</t>
        </is>
      </c>
      <c r="E12" s="21" t="inlineStr">
        <is>
          <t>Réservation confirmée non arrivée</t>
        </is>
      </c>
      <c r="F12" s="23" t="inlineStr">
        <is>
          <t>Annuler une réservation et gérer un client non présenté</t>
        </is>
      </c>
      <c r="G12" s="21" t="inlineStr">
        <is>
          <t>1. Annuler une réservation confirmée.
2. Marquer une autre « Non présenté » (bouton de la réservation).</t>
        </is>
      </c>
      <c r="H12" s="21" t="inlineStr">
        <is>
          <t>Les statuts sont mis à jour, les chambres se libèrent, et le motif reste consultable dans l'historique.</t>
        </is>
      </c>
      <c r="I12" s="24" t="inlineStr">
        <is>
          <t>À tester</t>
        </is>
      </c>
      <c r="J12" s="24" t="inlineStr"/>
      <c r="K12" s="24" t="inlineStr"/>
      <c r="L12" s="24" t="inlineStr"/>
    </row>
    <row r="13" ht="58" customHeight="1">
      <c r="A13" s="20" t="inlineStr">
        <is>
          <t>A12</t>
        </is>
      </c>
      <c r="B13" s="21" t="inlineStr">
        <is>
          <t>Hébergement — chambres &amp; séjours</t>
        </is>
      </c>
      <c r="C13" s="21" t="inlineStr">
        <is>
          <t>aite_hotel_management</t>
        </is>
      </c>
      <c r="D13" s="21" t="inlineStr">
        <is>
          <t>2 - Majeur</t>
        </is>
      </c>
      <c r="E13" s="21" t="inlineStr">
        <is>
          <t>Deux types de chambre avec tarifs différents</t>
        </is>
      </c>
      <c r="F13" s="23" t="inlineStr">
        <is>
          <t>Appliquer un tarif par type de chambre et par période</t>
        </is>
      </c>
      <c r="G13" s="21" t="inlineStr">
        <is>
          <t>1. Créer une réservation sur chaque type de chambre.
2. Comparer les montants calculés.</t>
        </is>
      </c>
      <c r="H13" s="21" t="inlineStr">
        <is>
          <t>Chaque réservation applique le tarif du type de chambre concerné ; les éventuelles listes de prix saisonnières sont respectées.</t>
        </is>
      </c>
      <c r="I13" s="24" t="inlineStr">
        <is>
          <t>À tester</t>
        </is>
      </c>
      <c r="J13" s="24" t="inlineStr"/>
      <c r="K13" s="24" t="inlineStr"/>
      <c r="L13" s="24" t="inlineStr"/>
    </row>
    <row r="14" ht="58" customHeight="1">
      <c r="A14" s="20" t="inlineStr">
        <is>
          <t>A13</t>
        </is>
      </c>
      <c r="B14" s="21" t="inlineStr">
        <is>
          <t>Hébergement — chambres &amp; séjours</t>
        </is>
      </c>
      <c r="C14" s="21" t="inlineStr">
        <is>
          <t>aite_hotel_management</t>
        </is>
      </c>
      <c r="D14" s="21" t="inlineStr">
        <is>
          <t>3 - Mineur</t>
        </is>
      </c>
      <c r="E14" s="21" t="inlineStr">
        <is>
          <t>Séjour en cours</t>
        </is>
      </c>
      <c r="F14" s="23" t="inlineStr">
        <is>
          <t>Changer un client de chambre en cours de séjour</t>
        </is>
      </c>
      <c r="G14" s="21" t="inlineStr">
        <is>
          <t>1. Ouvrir le séjour.
2. Effectuer un transfert vers une autre chambre libre.</t>
        </is>
      </c>
      <c r="H14" s="21" t="inlineStr">
        <is>
          <t>Le folio suit le client sans perte de lignes ; les deux chambres ont un statut cohérent dans le planning.</t>
        </is>
      </c>
      <c r="I14" s="24" t="inlineStr">
        <is>
          <t>À tester</t>
        </is>
      </c>
      <c r="J14" s="24" t="inlineStr"/>
      <c r="K14" s="24" t="inlineStr"/>
      <c r="L14" s="24" t="inlineStr"/>
    </row>
    <row r="15" ht="58" customHeight="1">
      <c r="A15" s="20" t="inlineStr">
        <is>
          <t>A14</t>
        </is>
      </c>
      <c r="B15" s="21" t="inlineStr">
        <is>
          <t>Hébergement — chambres &amp; séjours</t>
        </is>
      </c>
      <c r="C15" s="21" t="inlineStr">
        <is>
          <t>aite_hotel_management</t>
        </is>
      </c>
      <c r="D15" s="21" t="inlineStr">
        <is>
          <t>3 - Mineur</t>
        </is>
      </c>
      <c r="E15" s="21" t="inlineStr">
        <is>
          <t>Plusieurs séjours facturés sur le mois</t>
        </is>
      </c>
      <c r="F15" s="23" t="inlineStr">
        <is>
          <t>Vérifier la ventilation comptable par type de prestation</t>
        </is>
      </c>
      <c r="G15" s="21" t="inlineStr">
        <is>
          <t>1. Comptabilité → journal des ventes.
2. Contrôler les écritures issues des factures de séjour.</t>
        </is>
      </c>
      <c r="H15" s="21" t="inlineStr">
        <is>
          <t>Hébergement, restauration et prestations sont ventilés sur des comptes distincts, conformément au paramétrage.</t>
        </is>
      </c>
      <c r="I15" s="24" t="inlineStr">
        <is>
          <t>À tester</t>
        </is>
      </c>
      <c r="J15" s="24" t="inlineStr"/>
      <c r="K15" s="24" t="inlineStr"/>
      <c r="L15" s="24" t="inlineStr"/>
    </row>
    <row r="16" ht="58" customHeight="1">
      <c r="A16" s="20" t="inlineStr">
        <is>
          <t>B01</t>
        </is>
      </c>
      <c r="B16" s="21" t="inlineStr">
        <is>
          <t>Espaces &amp; prestations</t>
        </is>
      </c>
      <c r="C16" s="21" t="inlineStr">
        <is>
          <t>aite_slot_booking</t>
        </is>
      </c>
      <c r="D16" s="22" t="inlineStr">
        <is>
          <t>1 - Critique</t>
        </is>
      </c>
      <c r="E16" s="21" t="inlineStr">
        <is>
          <t>Module installé</t>
        </is>
      </c>
      <c r="F16" s="23" t="inlineStr">
        <is>
          <t>Créer un espace réservable avec son tarif</t>
        </is>
      </c>
      <c r="G16" s="21" t="inlineStr">
        <is>
          <t>1. Créer l'espace « Salle de réunion » avec tarif horaire et capacité.
2. Enregistrer.</t>
        </is>
      </c>
      <c r="H16" s="21" t="inlineStr">
        <is>
          <t>L'espace est créé et apparaît dans le planning des ressources.</t>
        </is>
      </c>
      <c r="I16" s="24" t="inlineStr">
        <is>
          <t>À tester</t>
        </is>
      </c>
      <c r="J16" s="24" t="inlineStr"/>
      <c r="K16" s="24" t="inlineStr"/>
      <c r="L16" s="24" t="inlineStr"/>
    </row>
    <row r="17" ht="58" customHeight="1">
      <c r="A17" s="20" t="inlineStr">
        <is>
          <t>B02</t>
        </is>
      </c>
      <c r="B17" s="21" t="inlineStr">
        <is>
          <t>Espaces &amp; prestations</t>
        </is>
      </c>
      <c r="C17" s="21" t="inlineStr">
        <is>
          <t>aite_slot_booking</t>
        </is>
      </c>
      <c r="D17" s="22" t="inlineStr">
        <is>
          <t>1 - Critique</t>
        </is>
      </c>
      <c r="E17" s="21" t="inlineStr">
        <is>
          <t>Un espace créé</t>
        </is>
      </c>
      <c r="F17" s="23" t="inlineStr">
        <is>
          <t>Réserver un créneau pour un client externe</t>
        </is>
      </c>
      <c r="G17" s="21" t="inlineStr">
        <is>
          <t>1. Réserver la salle de 9 h à 12 h pour un client.
2. Confirmer.</t>
        </is>
      </c>
      <c r="H17" s="21" t="inlineStr">
        <is>
          <t>Le créneau apparaît occupé dans le planning et le montant est calculé selon la durée et le tarif.</t>
        </is>
      </c>
      <c r="I17" s="24" t="inlineStr">
        <is>
          <t>À tester</t>
        </is>
      </c>
      <c r="J17" s="24" t="inlineStr"/>
      <c r="K17" s="24" t="inlineStr"/>
      <c r="L17" s="24" t="inlineStr"/>
    </row>
    <row r="18" ht="58" customHeight="1">
      <c r="A18" s="20" t="inlineStr">
        <is>
          <t>B03</t>
        </is>
      </c>
      <c r="B18" s="21" t="inlineStr">
        <is>
          <t>Espaces &amp; prestations</t>
        </is>
      </c>
      <c r="C18" s="21" t="inlineStr">
        <is>
          <t>aite_slot_booking</t>
        </is>
      </c>
      <c r="D18" s="22" t="inlineStr">
        <is>
          <t>1 - Critique</t>
        </is>
      </c>
      <c r="E18" s="21" t="inlineStr">
        <is>
          <t>Un créneau déjà réservé</t>
        </is>
      </c>
      <c r="F18" s="23" t="inlineStr">
        <is>
          <t>Empêcher la double réservation d'un créneau</t>
        </is>
      </c>
      <c r="G18" s="21" t="inlineStr">
        <is>
          <t>1. Tenter de réserver le même espace sur un créneau qui chevauche.</t>
        </is>
      </c>
      <c r="H18" s="21" t="inlineStr">
        <is>
          <t>Le système refuse ou alerte explicitement ; aucun double engagement n'est enregistré.</t>
        </is>
      </c>
      <c r="I18" s="24" t="inlineStr">
        <is>
          <t>À tester</t>
        </is>
      </c>
      <c r="J18" s="24" t="inlineStr"/>
      <c r="K18" s="24" t="inlineStr"/>
      <c r="L18" s="24" t="inlineStr"/>
    </row>
    <row r="19" ht="58" customHeight="1">
      <c r="A19" s="20" t="inlineStr">
        <is>
          <t>B04</t>
        </is>
      </c>
      <c r="B19" s="21" t="inlineStr">
        <is>
          <t>Espaces &amp; prestations</t>
        </is>
      </c>
      <c r="C19" s="21" t="inlineStr">
        <is>
          <t>aite_slot_booking</t>
        </is>
      </c>
      <c r="D19" s="21" t="inlineStr">
        <is>
          <t>2 - Majeur</t>
        </is>
      </c>
      <c r="E19" s="21" t="inlineStr">
        <is>
          <t>Séjour hôtel en cours</t>
        </is>
      </c>
      <c r="F19" s="23" t="inlineStr">
        <is>
          <t>Rattacher une prestation au folio d'une chambre</t>
        </is>
      </c>
      <c r="G19" s="21" t="inlineStr">
        <is>
          <t>1. Réserver la piscine pour un client résident.
2. Rattacher au séjour.
3. Ouvrir le folio.</t>
        </is>
      </c>
      <c r="H19" s="21" t="inlineStr">
        <is>
          <t>La prestation apparaît sur le folio de la chambre et sera facturée avec le séjour.</t>
        </is>
      </c>
      <c r="I19" s="24" t="inlineStr">
        <is>
          <t>À tester</t>
        </is>
      </c>
      <c r="J19" s="24" t="inlineStr"/>
      <c r="K19" s="24" t="inlineStr"/>
      <c r="L19" s="24" t="inlineStr"/>
    </row>
    <row r="20" ht="58" customHeight="1">
      <c r="A20" s="20" t="inlineStr">
        <is>
          <t>B05</t>
        </is>
      </c>
      <c r="B20" s="21" t="inlineStr">
        <is>
          <t>Espaces &amp; prestations</t>
        </is>
      </c>
      <c r="C20" s="21" t="inlineStr">
        <is>
          <t>aite_slot_booking</t>
        </is>
      </c>
      <c r="D20" s="21" t="inlineStr">
        <is>
          <t>2 - Majeur</t>
        </is>
      </c>
      <c r="E20" s="21" t="inlineStr">
        <is>
          <t>Prestation réservée et payée</t>
        </is>
      </c>
      <c r="F20" s="23" t="inlineStr">
        <is>
          <t>Facturer une prestation seule</t>
        </is>
      </c>
      <c r="G20" s="21" t="inlineStr">
        <is>
          <t>1. Facturer une prestation à un client non résident.</t>
        </is>
      </c>
      <c r="H20" s="21" t="inlineStr">
        <is>
          <t>La facture est éditée en FCFA et l'écriture comptable est générée.</t>
        </is>
      </c>
      <c r="I20" s="24" t="inlineStr">
        <is>
          <t>À tester</t>
        </is>
      </c>
      <c r="J20" s="24" t="inlineStr"/>
      <c r="K20" s="24" t="inlineStr"/>
      <c r="L20" s="24" t="inlineStr"/>
    </row>
    <row r="21" ht="58" customHeight="1">
      <c r="A21" s="20" t="inlineStr">
        <is>
          <t>B06</t>
        </is>
      </c>
      <c r="B21" s="21" t="inlineStr">
        <is>
          <t>Espaces &amp; prestations</t>
        </is>
      </c>
      <c r="C21" s="21" t="inlineStr">
        <is>
          <t>aite_slot_booking</t>
        </is>
      </c>
      <c r="D21" s="21" t="inlineStr">
        <is>
          <t>2 - Majeur</t>
        </is>
      </c>
      <c r="E21" s="21" t="inlineStr">
        <is>
          <t>Créneau réservé</t>
        </is>
      </c>
      <c r="F21" s="23" t="inlineStr">
        <is>
          <t>Annuler une réservation d'espace</t>
        </is>
      </c>
      <c r="G21" s="21" t="inlineStr">
        <is>
          <t>1. Annuler le créneau.
2. Consulter le planning.</t>
        </is>
      </c>
      <c r="H21" s="21" t="inlineStr">
        <is>
          <t>Le créneau redevient disponible ; l'acompte éventuel suit les conditions définies.</t>
        </is>
      </c>
      <c r="I21" s="24" t="inlineStr">
        <is>
          <t>À tester</t>
        </is>
      </c>
      <c r="J21" s="24" t="inlineStr"/>
      <c r="K21" s="24" t="inlineStr"/>
      <c r="L21" s="24" t="inlineStr"/>
    </row>
    <row r="22" ht="58" customHeight="1">
      <c r="A22" s="20" t="inlineStr">
        <is>
          <t>B07</t>
        </is>
      </c>
      <c r="B22" s="21" t="inlineStr">
        <is>
          <t>Espaces &amp; prestations</t>
        </is>
      </c>
      <c r="C22" s="21" t="inlineStr">
        <is>
          <t>aite_slot_booking</t>
        </is>
      </c>
      <c r="D22" s="21" t="inlineStr">
        <is>
          <t>3 - Mineur</t>
        </is>
      </c>
      <c r="E22" s="21" t="inlineStr">
        <is>
          <t>Plusieurs espaces et créneaux sur le mois</t>
        </is>
      </c>
      <c r="F22" s="23" t="inlineStr">
        <is>
          <t>Mesurer le chiffre d'affaires par espace</t>
        </is>
      </c>
      <c r="G22" s="21" t="inlineStr">
        <is>
          <t>1. Ouvrir le récapitulatif par espace sur le mois.</t>
        </is>
      </c>
      <c r="H22" s="21" t="inlineStr">
        <is>
          <t>Le CA par espace et le taux d'occupation sont cohérents avec les réservations saisies.</t>
        </is>
      </c>
      <c r="I22" s="24" t="inlineStr">
        <is>
          <t>À tester</t>
        </is>
      </c>
      <c r="J22" s="24" t="inlineStr"/>
      <c r="K22" s="24" t="inlineStr"/>
      <c r="L22" s="24" t="inlineStr"/>
    </row>
    <row r="23" ht="58" customHeight="1">
      <c r="A23" s="20" t="inlineStr">
        <is>
          <t>B08</t>
        </is>
      </c>
      <c r="B23" s="21" t="inlineStr">
        <is>
          <t>Espaces &amp; prestations</t>
        </is>
      </c>
      <c r="C23" s="21" t="inlineStr">
        <is>
          <t>aite_slot_booking</t>
        </is>
      </c>
      <c r="D23" s="21" t="inlineStr">
        <is>
          <t>3 - Mineur</t>
        </is>
      </c>
      <c r="E23" s="21" t="inlineStr">
        <is>
          <t>Espace avec tarifs multiples</t>
        </is>
      </c>
      <c r="F23" s="23" t="inlineStr">
        <is>
          <t>Appliquer les tarifs heure / demi-journée / journée</t>
        </is>
      </c>
      <c r="G23" s="21" t="inlineStr">
        <is>
          <t>1. Réserver successivement 1 h, une demi-journée et une journée.</t>
        </is>
      </c>
      <c r="H23" s="21" t="inlineStr">
        <is>
          <t>Le tarif appliqué correspond à la durée choisie pour chacune des trois réservations.</t>
        </is>
      </c>
      <c r="I23" s="24" t="inlineStr">
        <is>
          <t>À tester</t>
        </is>
      </c>
      <c r="J23" s="24" t="inlineStr"/>
      <c r="K23" s="24" t="inlineStr"/>
      <c r="L23" s="24" t="inlineStr"/>
    </row>
    <row r="24" ht="58" customHeight="1">
      <c r="A24" s="20" t="inlineStr">
        <is>
          <t>C01</t>
        </is>
      </c>
      <c r="B24" s="21" t="inlineStr">
        <is>
          <t>Réservation en ligne</t>
        </is>
      </c>
      <c r="C24" s="21" t="inlineStr">
        <is>
          <t>aite_website_booking</t>
        </is>
      </c>
      <c r="D24" s="22" t="inlineStr">
        <is>
          <t>1 - Critique</t>
        </is>
      </c>
      <c r="E24" s="21" t="inlineStr">
        <is>
          <t>Site web publié, chambres disponibles</t>
        </is>
      </c>
      <c r="F24" s="23" t="inlineStr">
        <is>
          <t>Rechercher une disponibilité depuis le site</t>
        </is>
      </c>
      <c r="G24" s="21" t="inlineStr">
        <is>
          <t>1. Ouvrir le site public.
2. Saisir des dates et un nombre de voyageurs.
3. Lancer la recherche.</t>
        </is>
      </c>
      <c r="H24" s="21" t="inlineStr">
        <is>
          <t>Seules les chambres réellement disponibles sont proposées, avec leur tarif en FCFA.</t>
        </is>
      </c>
      <c r="I24" s="24" t="inlineStr">
        <is>
          <t>À tester</t>
        </is>
      </c>
      <c r="J24" s="24" t="inlineStr"/>
      <c r="K24" s="24" t="inlineStr"/>
      <c r="L24" s="24" t="inlineStr"/>
    </row>
    <row r="25" ht="58" customHeight="1">
      <c r="A25" s="20" t="inlineStr">
        <is>
          <t>C02</t>
        </is>
      </c>
      <c r="B25" s="21" t="inlineStr">
        <is>
          <t>Réservation en ligne</t>
        </is>
      </c>
      <c r="C25" s="21" t="inlineStr">
        <is>
          <t>aite_website_booking</t>
        </is>
      </c>
      <c r="D25" s="22" t="inlineStr">
        <is>
          <t>1 - Critique</t>
        </is>
      </c>
      <c r="E25" s="21" t="inlineStr">
        <is>
          <t>Recherche effectuée</t>
        </is>
      </c>
      <c r="F25" s="23" t="inlineStr">
        <is>
          <t>Envoyer une demande de séjour en ligne</t>
        </is>
      </c>
      <c r="G25" s="21" t="inlineStr">
        <is>
          <t>1. Choisir une chambre.
2. Renseigner les informations client.
3. Envoyer la demande.</t>
        </is>
      </c>
      <c r="H25" s="21" t="inlineStr">
        <is>
          <t>Une réservation en brouillon est créée au nom du client (sans doublon de contact) ; la réception la confirme et encaisse l'acompte au comptoir (pas de paiement en ligne).</t>
        </is>
      </c>
      <c r="I25" s="24" t="inlineStr">
        <is>
          <t>À tester</t>
        </is>
      </c>
      <c r="J25" s="24" t="inlineStr"/>
      <c r="K25" s="24" t="inlineStr"/>
      <c r="L25" s="24" t="inlineStr"/>
    </row>
    <row r="26" ht="58" customHeight="1">
      <c r="A26" s="20" t="inlineStr">
        <is>
          <t>C03</t>
        </is>
      </c>
      <c r="B26" s="21" t="inlineStr">
        <is>
          <t>Réservation en ligne</t>
        </is>
      </c>
      <c r="C26" s="21" t="inlineStr">
        <is>
          <t>aite_website_booking</t>
        </is>
      </c>
      <c r="D26" s="22" t="inlineStr">
        <is>
          <t>1 - Critique</t>
        </is>
      </c>
      <c r="E26" s="21" t="inlineStr">
        <is>
          <t>Réservation en ligne confirmée</t>
        </is>
      </c>
      <c r="F26" s="23" t="inlineStr">
        <is>
          <t>Vérifier la retombée dans le planning de la réception</t>
        </is>
      </c>
      <c r="G26" s="21" t="inlineStr">
        <is>
          <t>1. Côté back-office, ouvrir le planning et la main courante.</t>
        </is>
      </c>
      <c r="H26" s="21" t="inlineStr">
        <is>
          <t>La réservation apparaît sans aucune ressaisie, avec le statut acompte reçu et les dates exactes.</t>
        </is>
      </c>
      <c r="I26" s="24" t="inlineStr">
        <is>
          <t>À tester</t>
        </is>
      </c>
      <c r="J26" s="24" t="inlineStr"/>
      <c r="K26" s="24" t="inlineStr"/>
      <c r="L26" s="24" t="inlineStr"/>
    </row>
    <row r="27" ht="58" customHeight="1">
      <c r="A27" s="20" t="inlineStr">
        <is>
          <t>C04</t>
        </is>
      </c>
      <c r="B27" s="21" t="inlineStr">
        <is>
          <t>Réservation en ligne</t>
        </is>
      </c>
      <c r="C27" s="21" t="inlineStr">
        <is>
          <t>aite_website_booking</t>
        </is>
      </c>
      <c r="D27" s="22" t="inlineStr">
        <is>
          <t>1 - Critique</t>
        </is>
      </c>
      <c r="E27" s="21" t="inlineStr">
        <is>
          <t>Une chambre unique disponible</t>
        </is>
      </c>
      <c r="F27" s="23" t="inlineStr">
        <is>
          <t>Gérer la concurrence entre deux réservations simultanées</t>
        </is>
      </c>
      <c r="G27" s="21" t="inlineStr">
        <is>
          <t>1. Lancer deux parcours de réservation en parallèle sur la même chambre.
2. Confirmer le premier, puis le second.</t>
        </is>
      </c>
      <c r="H27" s="21" t="inlineStr">
        <is>
          <t>La première confirmation bloque la chambre ; la seconde est refusée ou redirigée vers une alternative.</t>
        </is>
      </c>
      <c r="I27" s="24" t="inlineStr">
        <is>
          <t>À tester</t>
        </is>
      </c>
      <c r="J27" s="24" t="inlineStr"/>
      <c r="K27" s="24" t="inlineStr"/>
      <c r="L27" s="24" t="inlineStr"/>
    </row>
    <row r="28" ht="58" customHeight="1">
      <c r="A28" s="20" t="inlineStr">
        <is>
          <t>C05</t>
        </is>
      </c>
      <c r="B28" s="21" t="inlineStr">
        <is>
          <t>Réservation en ligne</t>
        </is>
      </c>
      <c r="C28" s="21" t="inlineStr">
        <is>
          <t>aite_website_booking</t>
        </is>
      </c>
      <c r="D28" s="21" t="inlineStr">
        <is>
          <t>2 - Majeur</t>
        </is>
      </c>
      <c r="E28" s="21" t="inlineStr">
        <is>
          <t>Paramétrage d'acompte défini</t>
        </is>
      </c>
      <c r="F28" s="23" t="inlineStr">
        <is>
          <t>Contrôler le montant d'acompte appliqué</t>
        </is>
      </c>
      <c r="G28" s="21" t="inlineStr">
        <is>
          <t>1. Réserver et comparer l'acompte demandé au paramétrage (pourcentage ou montant fixe).</t>
        </is>
      </c>
      <c r="H28" s="21" t="inlineStr">
        <is>
          <t>L'acompte prélevé correspond exactement à la règle définie.</t>
        </is>
      </c>
      <c r="I28" s="24" t="inlineStr">
        <is>
          <t>À tester</t>
        </is>
      </c>
      <c r="J28" s="24" t="inlineStr"/>
      <c r="K28" s="24" t="inlineStr"/>
      <c r="L28" s="24" t="inlineStr"/>
    </row>
    <row r="29" ht="58" customHeight="1">
      <c r="A29" s="20" t="inlineStr">
        <is>
          <t>C06</t>
        </is>
      </c>
      <c r="B29" s="21" t="inlineStr">
        <is>
          <t>Réservation en ligne</t>
        </is>
      </c>
      <c r="C29" s="21" t="inlineStr">
        <is>
          <t>aite_website_booking</t>
        </is>
      </c>
      <c r="D29" s="21" t="inlineStr">
        <is>
          <t>2 - Majeur</t>
        </is>
      </c>
      <c r="E29" s="21" t="inlineStr">
        <is>
          <t>Réservation en ligne effectuée</t>
        </is>
      </c>
      <c r="F29" s="23" t="inlineStr">
        <is>
          <t>Réceptionner le client à l'arrivée</t>
        </is>
      </c>
      <c r="G29" s="21" t="inlineStr">
        <is>
          <t>1. Faire le check-in de la réservation venue du web.</t>
        </is>
      </c>
      <c r="H29" s="21" t="inlineStr">
        <is>
          <t>Le séjour démarre normalement et l'acompte est déjà déduit du folio.</t>
        </is>
      </c>
      <c r="I29" s="24" t="inlineStr">
        <is>
          <t>À tester</t>
        </is>
      </c>
      <c r="J29" s="24" t="inlineStr"/>
      <c r="K29" s="24" t="inlineStr"/>
      <c r="L29" s="24" t="inlineStr"/>
    </row>
    <row r="30" ht="58" customHeight="1">
      <c r="A30" s="20" t="inlineStr">
        <is>
          <t>C07</t>
        </is>
      </c>
      <c r="B30" s="21" t="inlineStr">
        <is>
          <t>Réservation en ligne</t>
        </is>
      </c>
      <c r="C30" s="21" t="inlineStr">
        <is>
          <t>aite_website_booking</t>
        </is>
      </c>
      <c r="D30" s="21" t="inlineStr">
        <is>
          <t>2 - Majeur</t>
        </is>
      </c>
      <c r="E30" s="21" t="inlineStr">
        <is>
          <t>Site en ligne</t>
        </is>
      </c>
      <c r="F30" s="23" t="inlineStr">
        <is>
          <t>Réserver depuis un téléphone</t>
        </is>
      </c>
      <c r="G30" s="21" t="inlineStr">
        <is>
          <t>1. Refaire le parcours complet sur smartphone.</t>
        </is>
      </c>
      <c r="H30" s="21" t="inlineStr">
        <is>
          <t>Le parcours est lisible et utilisable sur petit écran, sans débordement ni bouton inaccessible.</t>
        </is>
      </c>
      <c r="I30" s="24" t="inlineStr">
        <is>
          <t>À tester</t>
        </is>
      </c>
      <c r="J30" s="24" t="inlineStr"/>
      <c r="K30" s="24" t="inlineStr"/>
      <c r="L30" s="24" t="inlineStr"/>
    </row>
    <row r="31" ht="58" customHeight="1">
      <c r="A31" s="20" t="inlineStr">
        <is>
          <t>C08</t>
        </is>
      </c>
      <c r="B31" s="21" t="inlineStr">
        <is>
          <t>Réservation en ligne</t>
        </is>
      </c>
      <c r="C31" s="21" t="inlineStr">
        <is>
          <t>aite_website_booking</t>
        </is>
      </c>
      <c r="D31" s="21" t="inlineStr">
        <is>
          <t>3 - Mineur</t>
        </is>
      </c>
      <c r="E31" s="21" t="inlineStr">
        <is>
          <t>Espaces ouverts à la réservation en ligne</t>
        </is>
      </c>
      <c r="F31" s="23" t="inlineStr">
        <is>
          <t>Réserver un espace depuis le site</t>
        </is>
      </c>
      <c r="G31" s="21" t="inlineStr">
        <is>
          <t>1. Réserver une salle ou un espace via le site public.</t>
        </is>
      </c>
      <c r="H31" s="21" t="inlineStr">
        <is>
          <t>Le créneau est bloqué dans le planning des ressources, avec acompte le cas échéant.</t>
        </is>
      </c>
      <c r="I31" s="24" t="inlineStr">
        <is>
          <t>À tester</t>
        </is>
      </c>
      <c r="J31" s="24" t="inlineStr"/>
      <c r="K31" s="24" t="inlineStr"/>
      <c r="L31" s="24" t="inlineStr"/>
    </row>
    <row r="32" ht="58" customHeight="1">
      <c r="A32" s="20" t="inlineStr">
        <is>
          <t>D01</t>
        </is>
      </c>
      <c r="B32" s="21" t="inlineStr">
        <is>
          <t>Point de vente &amp; caisse</t>
        </is>
      </c>
      <c r="C32" s="21" t="inlineStr">
        <is>
          <t>aite_pos_analytics</t>
        </is>
      </c>
      <c r="D32" s="22" t="inlineStr">
        <is>
          <t>1 - Critique</t>
        </is>
      </c>
      <c r="E32" s="21" t="inlineStr">
        <is>
          <t>Caisse configurée, produits en stock</t>
        </is>
      </c>
      <c r="F32" s="23" t="inlineStr">
        <is>
          <t>Ouvrir une session de caisse</t>
        </is>
      </c>
      <c r="G32" s="21" t="inlineStr">
        <is>
          <t>1. Point de Vente → Nouvelle session.
2. Saisir le fond de caisse.</t>
        </is>
      </c>
      <c r="H32" s="21" t="inlineStr">
        <is>
          <t>La session s'ouvre, le fond de caisse est enregistré et l'interface de vente s'affiche.</t>
        </is>
      </c>
      <c r="I32" s="24" t="inlineStr">
        <is>
          <t>À tester</t>
        </is>
      </c>
      <c r="J32" s="24" t="inlineStr"/>
      <c r="K32" s="24" t="inlineStr"/>
      <c r="L32" s="24" t="inlineStr"/>
    </row>
    <row r="33" ht="58" customHeight="1">
      <c r="A33" s="20" t="inlineStr">
        <is>
          <t>D02</t>
        </is>
      </c>
      <c r="B33" s="21" t="inlineStr">
        <is>
          <t>Point de vente &amp; caisse</t>
        </is>
      </c>
      <c r="C33" s="21" t="inlineStr">
        <is>
          <t>aite_pos_analytics</t>
        </is>
      </c>
      <c r="D33" s="22" t="inlineStr">
        <is>
          <t>1 - Critique</t>
        </is>
      </c>
      <c r="E33" s="21" t="inlineStr">
        <is>
          <t>Session ouverte</t>
        </is>
      </c>
      <c r="F33" s="23" t="inlineStr">
        <is>
          <t>Encaisser une vente en espèces</t>
        </is>
      </c>
      <c r="G33" s="21" t="inlineStr">
        <is>
          <t>1. Sélectionner 3 produits.
2. Paiement → Espèces.
3. Valider.</t>
        </is>
      </c>
      <c r="H33" s="21" t="inlineStr">
        <is>
          <t>Le total est correct en FCFA, le ticket est généré et la vente apparaît dans la liste des commandes.</t>
        </is>
      </c>
      <c r="I33" s="24" t="inlineStr">
        <is>
          <t>À tester</t>
        </is>
      </c>
      <c r="J33" s="24" t="inlineStr"/>
      <c r="K33" s="24" t="inlineStr"/>
      <c r="L33" s="24" t="inlineStr"/>
    </row>
    <row r="34" ht="58" customHeight="1">
      <c r="A34" s="20" t="inlineStr">
        <is>
          <t>D03</t>
        </is>
      </c>
      <c r="B34" s="21" t="inlineStr">
        <is>
          <t>Point de vente &amp; caisse</t>
        </is>
      </c>
      <c r="C34" s="21" t="inlineStr">
        <is>
          <t>aite_pos_analytics</t>
        </is>
      </c>
      <c r="D34" s="22" t="inlineStr">
        <is>
          <t>1 - Critique</t>
        </is>
      </c>
      <c r="E34" s="21" t="inlineStr">
        <is>
          <t>Session ouverte</t>
        </is>
      </c>
      <c r="F34" s="23" t="inlineStr">
        <is>
          <t>Encaisser en Mobile Money</t>
        </is>
      </c>
      <c r="G34" s="21" t="inlineStr">
        <is>
          <t>1. Réaliser une vente.
2. Payer via le mode Mobile Money.</t>
        </is>
      </c>
      <c r="H34" s="21" t="inlineStr">
        <is>
          <t>Le paiement est enregistré sur le bon journal et distinct des espèces dans le récapitulatif de session.</t>
        </is>
      </c>
      <c r="I34" s="24" t="inlineStr">
        <is>
          <t>À tester</t>
        </is>
      </c>
      <c r="J34" s="24" t="inlineStr"/>
      <c r="K34" s="24" t="inlineStr"/>
      <c r="L34" s="24" t="inlineStr"/>
    </row>
    <row r="35" ht="58" customHeight="1">
      <c r="A35" s="20" t="inlineStr">
        <is>
          <t>D04</t>
        </is>
      </c>
      <c r="B35" s="21" t="inlineStr">
        <is>
          <t>Point de vente &amp; caisse</t>
        </is>
      </c>
      <c r="C35" s="21" t="inlineStr">
        <is>
          <t>aite_pos_analytics</t>
        </is>
      </c>
      <c r="D35" s="22" t="inlineStr">
        <is>
          <t>1 - Critique</t>
        </is>
      </c>
      <c r="E35" s="21" t="inlineStr">
        <is>
          <t>Session ouverte avec ventes</t>
        </is>
      </c>
      <c r="F35" s="23" t="inlineStr">
        <is>
          <t>Clôturer la session et contrôler les écarts de caisse</t>
        </is>
      </c>
      <c r="G35" s="21" t="inlineStr">
        <is>
          <t>1. Clôturer la session.
2. Saisir le montant réellement compté.
3. Valider.</t>
        </is>
      </c>
      <c r="H35" s="21" t="inlineStr">
        <is>
          <t>L'écart entre théorique et compté est affiché, journalisé, et la session passe en statut Clôturée.</t>
        </is>
      </c>
      <c r="I35" s="24" t="inlineStr">
        <is>
          <t>À tester</t>
        </is>
      </c>
      <c r="J35" s="24" t="inlineStr"/>
      <c r="K35" s="24" t="inlineStr"/>
      <c r="L35" s="24" t="inlineStr"/>
    </row>
    <row r="36" ht="58" customHeight="1">
      <c r="A36" s="20" t="inlineStr">
        <is>
          <t>D05</t>
        </is>
      </c>
      <c r="B36" s="21" t="inlineStr">
        <is>
          <t>Point de vente &amp; caisse</t>
        </is>
      </c>
      <c r="C36" s="21" t="inlineStr">
        <is>
          <t>aite_pos_analytics</t>
        </is>
      </c>
      <c r="D36" s="22" t="inlineStr">
        <is>
          <t>1 - Critique</t>
        </is>
      </c>
      <c r="E36" s="21" t="inlineStr">
        <is>
          <t>Deux points de vente configurés (bar, boutique)</t>
        </is>
      </c>
      <c r="F36" s="23" t="inlineStr">
        <is>
          <t>Vérifier le cloisonnement des cartes par caisse</t>
        </is>
      </c>
      <c r="G36" s="21" t="inlineStr">
        <is>
          <t>1. Ouvrir successivement les deux caisses.
2. Comparer les produits affichés.</t>
        </is>
      </c>
      <c r="H36" s="21" t="inlineStr">
        <is>
          <t>Chaque caisse n'affiche que les produits de sa propre carte ; aucun produit de l'autre point de vente n'apparaît.</t>
        </is>
      </c>
      <c r="I36" s="24" t="inlineStr">
        <is>
          <t>À tester</t>
        </is>
      </c>
      <c r="J36" s="24" t="inlineStr"/>
      <c r="K36" s="24" t="inlineStr"/>
      <c r="L36" s="24" t="inlineStr"/>
    </row>
    <row r="37" ht="58" customHeight="1">
      <c r="A37" s="20" t="inlineStr">
        <is>
          <t>D06</t>
        </is>
      </c>
      <c r="B37" s="21" t="inlineStr">
        <is>
          <t>Point de vente &amp; caisse</t>
        </is>
      </c>
      <c r="C37" s="21" t="inlineStr">
        <is>
          <t>aite_pos_analytics</t>
        </is>
      </c>
      <c r="D37" s="21" t="inlineStr">
        <is>
          <t>2 - Majeur</t>
        </is>
      </c>
      <c r="E37" s="21" t="inlineStr">
        <is>
          <t>Session ouverte</t>
        </is>
      </c>
      <c r="F37" s="23" t="inlineStr">
        <is>
          <t>Appliquer une remise et la tracer</t>
        </is>
      </c>
      <c r="G37" s="21" t="inlineStr">
        <is>
          <t>1. Appliquer une remise sur une ligne de ticket.
2. Encaisser.</t>
        </is>
      </c>
      <c r="H37" s="21" t="inlineStr">
        <is>
          <t>La remise est appliquée au bon montant, tracée avec le vendeur, et visible dans les analyses.</t>
        </is>
      </c>
      <c r="I37" s="24" t="inlineStr">
        <is>
          <t>À tester</t>
        </is>
      </c>
      <c r="J37" s="24" t="inlineStr"/>
      <c r="K37" s="24" t="inlineStr"/>
      <c r="L37" s="24" t="inlineStr"/>
    </row>
    <row r="38" ht="58" customHeight="1">
      <c r="A38" s="20" t="inlineStr">
        <is>
          <t>D07</t>
        </is>
      </c>
      <c r="B38" s="21" t="inlineStr">
        <is>
          <t>Point de vente &amp; caisse</t>
        </is>
      </c>
      <c r="C38" s="21" t="inlineStr">
        <is>
          <t>aite_pos_analytics</t>
        </is>
      </c>
      <c r="D38" s="21" t="inlineStr">
        <is>
          <t>2 - Majeur</t>
        </is>
      </c>
      <c r="E38" s="21" t="inlineStr">
        <is>
          <t>Vente encaissée</t>
        </is>
      </c>
      <c r="F38" s="23" t="inlineStr">
        <is>
          <t>Imprimer un ticket de caisse</t>
        </is>
      </c>
      <c r="G38" s="21" t="inlineStr">
        <is>
          <t>1. Demander l'impression du ticket après paiement.</t>
        </is>
      </c>
      <c r="H38" s="21" t="inlineStr">
        <is>
          <t>Le ticket s'imprime (ou s'affiche pour impression) avec les lignes, le total et le mode de règlement.</t>
        </is>
      </c>
      <c r="I38" s="24" t="inlineStr">
        <is>
          <t>À tester</t>
        </is>
      </c>
      <c r="J38" s="24" t="inlineStr"/>
      <c r="K38" s="24" t="inlineStr"/>
      <c r="L38" s="24" t="inlineStr"/>
    </row>
    <row r="39" ht="58" customHeight="1">
      <c r="A39" s="20" t="inlineStr">
        <is>
          <t>D08</t>
        </is>
      </c>
      <c r="B39" s="21" t="inlineStr">
        <is>
          <t>Point de vente &amp; caisse</t>
        </is>
      </c>
      <c r="C39" s="21" t="inlineStr">
        <is>
          <t>aite_pos_analytics</t>
        </is>
      </c>
      <c r="D39" s="21" t="inlineStr">
        <is>
          <t>2 - Majeur</t>
        </is>
      </c>
      <c r="E39" s="21" t="inlineStr">
        <is>
          <t>Session ouverte, connexion réseau active</t>
        </is>
      </c>
      <c r="F39" s="23" t="inlineStr">
        <is>
          <t>Encaisser hors connexion</t>
        </is>
      </c>
      <c r="G39" s="21" t="inlineStr">
        <is>
          <t>1. Couper la connexion réseau.
2. Encaisser 2 ventes.
3. Rétablir la connexion.</t>
        </is>
      </c>
      <c r="H39" s="21" t="inlineStr">
        <is>
          <t>Les ventes se poursuivent hors ligne puis se synchronisent sans perte ni doublon au retour du réseau.</t>
        </is>
      </c>
      <c r="I39" s="24" t="inlineStr">
        <is>
          <t>À tester</t>
        </is>
      </c>
      <c r="J39" s="24" t="inlineStr"/>
      <c r="K39" s="24" t="inlineStr"/>
      <c r="L39" s="24" t="inlineStr"/>
    </row>
    <row r="40" ht="58" customHeight="1">
      <c r="A40" s="20" t="inlineStr">
        <is>
          <t>D09</t>
        </is>
      </c>
      <c r="B40" s="21" t="inlineStr">
        <is>
          <t>Point de vente &amp; caisse</t>
        </is>
      </c>
      <c r="C40" s="21" t="inlineStr">
        <is>
          <t>aite_pos_analytics</t>
        </is>
      </c>
      <c r="D40" s="21" t="inlineStr">
        <is>
          <t>2 - Majeur</t>
        </is>
      </c>
      <c r="E40" s="21" t="inlineStr">
        <is>
          <t>Ventes réalisées sur plusieurs jours et heures</t>
        </is>
      </c>
      <c r="F40" s="23" t="inlineStr">
        <is>
          <t>Consulter les analyses de ventes</t>
        </is>
      </c>
      <c r="G40" s="21" t="inlineStr">
        <is>
          <t>1. Ouvrir POS Analytics.
2. Filtrer par période et par caisse.</t>
        </is>
      </c>
      <c r="H40" s="21" t="inlineStr">
        <is>
          <t>Le CA, le nombre de tickets et le panier moyen correspondent aux ventes réelles de la période filtrée.</t>
        </is>
      </c>
      <c r="I40" s="24" t="inlineStr">
        <is>
          <t>À tester</t>
        </is>
      </c>
      <c r="J40" s="24" t="inlineStr"/>
      <c r="K40" s="24" t="inlineStr"/>
      <c r="L40" s="24" t="inlineStr"/>
    </row>
    <row r="41" ht="58" customHeight="1">
      <c r="A41" s="20" t="inlineStr">
        <is>
          <t>D10</t>
        </is>
      </c>
      <c r="B41" s="21" t="inlineStr">
        <is>
          <t>Point de vente &amp; caisse</t>
        </is>
      </c>
      <c r="C41" s="21" t="inlineStr">
        <is>
          <t>aite_pos_analytics</t>
        </is>
      </c>
      <c r="D41" s="21" t="inlineStr">
        <is>
          <t>2 - Majeur</t>
        </is>
      </c>
      <c r="E41" s="21" t="inlineStr">
        <is>
          <t>Ventes sur plusieurs tranches horaires</t>
        </is>
      </c>
      <c r="F41" s="23" t="inlineStr">
        <is>
          <t>Vérifier la carte de chaleur jours × heures</t>
        </is>
      </c>
      <c r="G41" s="21" t="inlineStr">
        <is>
          <t>1. Ouvrir la heatmap des ventes.</t>
        </is>
      </c>
      <c r="H41" s="21" t="inlineStr">
        <is>
          <t>Les heures de forte activité correspondent aux ventes effectivement saisies ; aucune case aberrante.</t>
        </is>
      </c>
      <c r="I41" s="24" t="inlineStr">
        <is>
          <t>À tester</t>
        </is>
      </c>
      <c r="J41" s="24" t="inlineStr"/>
      <c r="K41" s="24" t="inlineStr"/>
      <c r="L41" s="24" t="inlineStr"/>
    </row>
    <row r="42" ht="58" customHeight="1">
      <c r="A42" s="20" t="inlineStr">
        <is>
          <t>D11</t>
        </is>
      </c>
      <c r="B42" s="21" t="inlineStr">
        <is>
          <t>Point de vente &amp; caisse</t>
        </is>
      </c>
      <c r="C42" s="21" t="inlineStr">
        <is>
          <t>aite_pos_analytics</t>
        </is>
      </c>
      <c r="D42" s="21" t="inlineStr">
        <is>
          <t>2 - Majeur</t>
        </is>
      </c>
      <c r="E42" s="21" t="inlineStr">
        <is>
          <t>Produits avec prix d'achat renseignés</t>
        </is>
      </c>
      <c r="F42" s="23" t="inlineStr">
        <is>
          <t>Contrôler la marge et le coût des ventes</t>
        </is>
      </c>
      <c r="G42" s="21" t="inlineStr">
        <is>
          <t>1. Consulter les marges par produit et par catégorie.</t>
        </is>
      </c>
      <c r="H42" s="21" t="inlineStr">
        <is>
          <t>La marge affichée correspond à (prix de vente − coût) et le CMV est cohérent avec les ventes.</t>
        </is>
      </c>
      <c r="I42" s="24" t="inlineStr">
        <is>
          <t>À tester</t>
        </is>
      </c>
      <c r="J42" s="24" t="inlineStr"/>
      <c r="K42" s="24" t="inlineStr"/>
      <c r="L42" s="24" t="inlineStr"/>
    </row>
    <row r="43" ht="58" customHeight="1">
      <c r="A43" s="20" t="inlineStr">
        <is>
          <t>D12</t>
        </is>
      </c>
      <c r="B43" s="21" t="inlineStr">
        <is>
          <t>Point de vente &amp; caisse</t>
        </is>
      </c>
      <c r="C43" s="21" t="inlineStr">
        <is>
          <t>aite_pos_analytics</t>
        </is>
      </c>
      <c r="D43" s="21" t="inlineStr">
        <is>
          <t>3 - Mineur</t>
        </is>
      </c>
      <c r="E43" s="21" t="inlineStr">
        <is>
          <t>Session avec plusieurs vendeurs</t>
        </is>
      </c>
      <c r="F43" s="23" t="inlineStr">
        <is>
          <t>Suivre les ventes par vendeur</t>
        </is>
      </c>
      <c r="G43" s="21" t="inlineStr">
        <is>
          <t>1. Filtrer les ventes par vendeur sur la session.</t>
        </is>
      </c>
      <c r="H43" s="21" t="inlineStr">
        <is>
          <t>Le détail par vendeur est exact et exploitable pour le suivi d'équipe.</t>
        </is>
      </c>
      <c r="I43" s="24" t="inlineStr">
        <is>
          <t>À tester</t>
        </is>
      </c>
      <c r="J43" s="24" t="inlineStr"/>
      <c r="K43" s="24" t="inlineStr"/>
      <c r="L43" s="24" t="inlineStr"/>
    </row>
    <row r="44" ht="58" customHeight="1">
      <c r="A44" s="20" t="inlineStr">
        <is>
          <t>E01</t>
        </is>
      </c>
      <c r="B44" s="21" t="inlineStr">
        <is>
          <t>Note de chambre</t>
        </is>
      </c>
      <c r="C44" s="21" t="inlineStr">
        <is>
          <t>aite_hotel_pos_link</t>
        </is>
      </c>
      <c r="D44" s="22" t="inlineStr">
        <is>
          <t>1 - Critique</t>
        </is>
      </c>
      <c r="E44" s="21" t="inlineStr">
        <is>
          <t>Un séjour en cours (chambre occupée), caisse ouverte</t>
        </is>
      </c>
      <c r="F44" s="23" t="inlineStr">
        <is>
          <t>Encaisser une consommation sur la note de chambre</t>
        </is>
      </c>
      <c r="G44" s="21" t="inlineStr">
        <is>
          <t>1. Au POS, composer un ticket.
2. Sélectionner le client du séjour.
3. Paiement → Note de chambre.
4. Valider.</t>
        </is>
      </c>
      <c r="H44" s="21" t="inlineStr">
        <is>
          <t>Le paiement est accepté, le ticket mentionne la chambre, et aucun encaissement espèces n'est enregistré.</t>
        </is>
      </c>
      <c r="I44" s="24" t="inlineStr">
        <is>
          <t>À tester</t>
        </is>
      </c>
      <c r="J44" s="24" t="inlineStr"/>
      <c r="K44" s="24" t="inlineStr"/>
      <c r="L44" s="24" t="inlineStr"/>
    </row>
    <row r="45" ht="58" customHeight="1">
      <c r="A45" s="20" t="inlineStr">
        <is>
          <t>E02</t>
        </is>
      </c>
      <c r="B45" s="21" t="inlineStr">
        <is>
          <t>Note de chambre</t>
        </is>
      </c>
      <c r="C45" s="21" t="inlineStr">
        <is>
          <t>aite_hotel_pos_link</t>
        </is>
      </c>
      <c r="D45" s="22" t="inlineStr">
        <is>
          <t>1 - Critique</t>
        </is>
      </c>
      <c r="E45" s="21" t="inlineStr">
        <is>
          <t>Consommation reportée (cas E01)</t>
        </is>
      </c>
      <c r="F45" s="23" t="inlineStr">
        <is>
          <t>Vérifier l'alimentation du folio</t>
        </is>
      </c>
      <c r="G45" s="21" t="inlineStr">
        <is>
          <t>1. Ouvrir le folio de la chambre concernée.</t>
        </is>
      </c>
      <c r="H45" s="21" t="inlineStr">
        <is>
          <t>La consommation du bar apparaît, datée, au bon montant, identifiée par sa caisse d'origine.</t>
        </is>
      </c>
      <c r="I45" s="24" t="inlineStr">
        <is>
          <t>À tester</t>
        </is>
      </c>
      <c r="J45" s="24" t="inlineStr"/>
      <c r="K45" s="24" t="inlineStr"/>
      <c r="L45" s="24" t="inlineStr"/>
    </row>
    <row r="46" ht="58" customHeight="1">
      <c r="A46" s="20" t="inlineStr">
        <is>
          <t>E03</t>
        </is>
      </c>
      <c r="B46" s="21" t="inlineStr">
        <is>
          <t>Note de chambre</t>
        </is>
      </c>
      <c r="C46" s="21" t="inlineStr">
        <is>
          <t>aite_hotel_pos_link</t>
        </is>
      </c>
      <c r="D46" s="22" t="inlineStr">
        <is>
          <t>1 - Critique</t>
        </is>
      </c>
      <c r="E46" s="21" t="inlineStr">
        <is>
          <t>Client sans séjour ouvert (ou avec plusieurs)</t>
        </is>
      </c>
      <c r="F46" s="23" t="inlineStr">
        <is>
          <t>Ne jamais reporter au hasard</t>
        </is>
      </c>
      <c r="G46" s="21" t="inlineStr">
        <is>
          <t>1. Au POS, régler en Note de chambre un ticket d'un client sans folio ouvert (ou sans client).
2. Ouvrir Hôtel → Notes de chambre en attente.</t>
        </is>
      </c>
      <c r="H46" s="21" t="inlineStr">
        <is>
          <t>Le ticket n'est rattaché à aucun folio : il attend dans « Notes de chambre en attente », où la réception choisit le folio.</t>
        </is>
      </c>
      <c r="I46" s="24" t="inlineStr">
        <is>
          <t>À tester</t>
        </is>
      </c>
      <c r="J46" s="24" t="inlineStr"/>
      <c r="K46" s="24" t="inlineStr"/>
      <c r="L46" s="24" t="inlineStr"/>
    </row>
    <row r="47" ht="58" customHeight="1">
      <c r="A47" s="20" t="inlineStr">
        <is>
          <t>E04</t>
        </is>
      </c>
      <c r="B47" s="21" t="inlineStr">
        <is>
          <t>Note de chambre</t>
        </is>
      </c>
      <c r="C47" s="21" t="inlineStr">
        <is>
          <t>aite_hotel_pos_link</t>
        </is>
      </c>
      <c r="D47" s="22" t="inlineStr">
        <is>
          <t>1 - Critique</t>
        </is>
      </c>
      <c r="E47" s="21" t="inlineStr">
        <is>
          <t>Folio alimenté par un report bar</t>
        </is>
      </c>
      <c r="F47" s="23" t="inlineStr">
        <is>
          <t>Facturer le séjour incluant le bar</t>
        </is>
      </c>
      <c r="G47" s="21" t="inlineStr">
        <is>
          <t>1. Effectuer le check-out.
2. Générer la facture.</t>
        </is>
      </c>
      <c r="H47" s="21" t="inlineStr">
        <is>
          <t>La facture unique comprend nuitées, extras et consommations du bar, avec un total exact.</t>
        </is>
      </c>
      <c r="I47" s="24" t="inlineStr">
        <is>
          <t>À tester</t>
        </is>
      </c>
      <c r="J47" s="24" t="inlineStr"/>
      <c r="K47" s="24" t="inlineStr"/>
      <c r="L47" s="24" t="inlineStr"/>
    </row>
    <row r="48" ht="58" customHeight="1">
      <c r="A48" s="20" t="inlineStr">
        <is>
          <t>E05</t>
        </is>
      </c>
      <c r="B48" s="21" t="inlineStr">
        <is>
          <t>Note de chambre</t>
        </is>
      </c>
      <c r="C48" s="21" t="inlineStr">
        <is>
          <t>aite_hotel_pos_link</t>
        </is>
      </c>
      <c r="D48" s="21" t="inlineStr">
        <is>
          <t>2 - Majeur</t>
        </is>
      </c>
      <c r="E48" s="21" t="inlineStr">
        <is>
          <t>Report effectué</t>
        </is>
      </c>
      <c r="F48" s="23" t="inlineStr">
        <is>
          <t>Valider ou corriger un report côté réception</t>
        </is>
      </c>
      <c r="G48" s="21" t="inlineStr">
        <is>
          <t>1. Ouvrir la liste des reports en attente.
2. Valider l'un, corriger ou refuser l'autre.</t>
        </is>
      </c>
      <c r="H48" s="21" t="inlineStr">
        <is>
          <t>Le folio reflète la décision de la réception ; toute correction est tracée.</t>
        </is>
      </c>
      <c r="I48" s="24" t="inlineStr">
        <is>
          <t>À tester</t>
        </is>
      </c>
      <c r="J48" s="24" t="inlineStr"/>
      <c r="K48" s="24" t="inlineStr"/>
      <c r="L48" s="24" t="inlineStr"/>
    </row>
    <row r="49" ht="58" customHeight="1">
      <c r="A49" s="20" t="inlineStr">
        <is>
          <t>E06</t>
        </is>
      </c>
      <c r="B49" s="21" t="inlineStr">
        <is>
          <t>Note de chambre</t>
        </is>
      </c>
      <c r="C49" s="21" t="inlineStr">
        <is>
          <t>aite_hotel_pos_link</t>
        </is>
      </c>
      <c r="D49" s="21" t="inlineStr">
        <is>
          <t>2 - Majeur</t>
        </is>
      </c>
      <c r="E49" s="21" t="inlineStr">
        <is>
          <t>Deux caisses actives, un séjour en cours</t>
        </is>
      </c>
      <c r="F49" s="23" t="inlineStr">
        <is>
          <t>Reporter depuis deux caisses différentes</t>
        </is>
      </c>
      <c r="G49" s="21" t="inlineStr">
        <is>
          <t>1. Reporter une consommation depuis chaque caisse.</t>
        </is>
      </c>
      <c r="H49" s="21" t="inlineStr">
        <is>
          <t>Les deux reports arrivent sur le même folio en conservant l'identification de leur caisse.</t>
        </is>
      </c>
      <c r="I49" s="24" t="inlineStr">
        <is>
          <t>À tester</t>
        </is>
      </c>
      <c r="J49" s="24" t="inlineStr"/>
      <c r="K49" s="24" t="inlineStr"/>
      <c r="L49" s="24" t="inlineStr"/>
    </row>
    <row r="50" ht="58" customHeight="1">
      <c r="A50" s="20" t="inlineStr">
        <is>
          <t>E07</t>
        </is>
      </c>
      <c r="B50" s="21" t="inlineStr">
        <is>
          <t>Note de chambre</t>
        </is>
      </c>
      <c r="C50" s="21" t="inlineStr">
        <is>
          <t>aite_hotel_pos_link</t>
        </is>
      </c>
      <c r="D50" s="21" t="inlineStr">
        <is>
          <t>2 - Majeur</t>
        </is>
      </c>
      <c r="E50" s="21" t="inlineStr">
        <is>
          <t>Séjour avec reports facturés</t>
        </is>
      </c>
      <c r="F50" s="23" t="inlineStr">
        <is>
          <t>Contrôler la ventilation comptable du bar</t>
        </is>
      </c>
      <c r="G50" s="21" t="inlineStr">
        <is>
          <t>1. Consulter les écritures de la facture de séjour.</t>
        </is>
      </c>
      <c r="H50" s="21" t="inlineStr">
        <is>
          <t>Le chiffre d'affaires du bar est ventilé sur son propre compte, distinct de l'hébergement.</t>
        </is>
      </c>
      <c r="I50" s="24" t="inlineStr">
        <is>
          <t>À tester</t>
        </is>
      </c>
      <c r="J50" s="24" t="inlineStr"/>
      <c r="K50" s="24" t="inlineStr"/>
      <c r="L50" s="24" t="inlineStr"/>
    </row>
    <row r="51" ht="58" customHeight="1">
      <c r="A51" s="20" t="inlineStr">
        <is>
          <t>E08</t>
        </is>
      </c>
      <c r="B51" s="21" t="inlineStr">
        <is>
          <t>Note de chambre</t>
        </is>
      </c>
      <c r="C51" s="21" t="inlineStr">
        <is>
          <t>aite_hotel_pos_link</t>
        </is>
      </c>
      <c r="D51" s="21" t="inlineStr">
        <is>
          <t>3 - Mineur</t>
        </is>
      </c>
      <c r="E51" s="21" t="inlineStr">
        <is>
          <t>Séjour en cours</t>
        </is>
      </c>
      <c r="F51" s="23" t="inlineStr">
        <is>
          <t>Vérifier le comportement après départ du client</t>
        </is>
      </c>
      <c r="G51" s="21" t="inlineStr">
        <is>
          <t>1. Effectuer le check-out.
2. Tenter un report sur cette chambre.</t>
        </is>
      </c>
      <c r="H51" s="21" t="inlineStr">
        <is>
          <t>Le report est impossible sur un séjour clôturé ; un message clair est affiché.</t>
        </is>
      </c>
      <c r="I51" s="24" t="inlineStr">
        <is>
          <t>À tester</t>
        </is>
      </c>
      <c r="J51" s="24" t="inlineStr"/>
      <c r="K51" s="24" t="inlineStr"/>
      <c r="L51" s="24" t="inlineStr"/>
    </row>
    <row r="52" ht="58" customHeight="1">
      <c r="A52" s="20" t="inlineStr">
        <is>
          <t>F01</t>
        </is>
      </c>
      <c r="B52" s="21" t="inlineStr">
        <is>
          <t>Crédit clients (ardoises)</t>
        </is>
      </c>
      <c r="C52" s="21" t="inlineStr">
        <is>
          <t>aite_pos_credit</t>
        </is>
      </c>
      <c r="D52" s="22" t="inlineStr">
        <is>
          <t>1 - Critique</t>
        </is>
      </c>
      <c r="E52" s="21" t="inlineStr">
        <is>
          <t>Module installé</t>
        </is>
      </c>
      <c r="F52" s="23" t="inlineStr">
        <is>
          <t>Activer la vente à crédit sur un mode de paiement</t>
        </is>
      </c>
      <c r="G52" s="21" t="inlineStr">
        <is>
          <t>1. Point de Vente → Configuration → Modes de paiement.
2. Ouvrir « Ardoise client ».
3. Vérifier la case « Vente à crédit ».</t>
        </is>
      </c>
      <c r="H52" s="21" t="inlineStr">
        <is>
          <t>Le mode « Ardoise client » existe dès l'installation, case cochée ; seul un mode coché ouvre une ardoise (pas la Note de chambre). Il n'y a pas de plafond de crédit par client.</t>
        </is>
      </c>
      <c r="I52" s="24" t="inlineStr">
        <is>
          <t>À tester</t>
        </is>
      </c>
      <c r="J52" s="24" t="inlineStr"/>
      <c r="K52" s="24" t="inlineStr"/>
      <c r="L52" s="24" t="inlineStr"/>
    </row>
    <row r="53" ht="58" customHeight="1">
      <c r="A53" s="20" t="inlineStr">
        <is>
          <t>F02</t>
        </is>
      </c>
      <c r="B53" s="21" t="inlineStr">
        <is>
          <t>Crédit clients (ardoises)</t>
        </is>
      </c>
      <c r="C53" s="21" t="inlineStr">
        <is>
          <t>aite_pos_credit</t>
        </is>
      </c>
      <c r="D53" s="22" t="inlineStr">
        <is>
          <t>1 - Critique</t>
        </is>
      </c>
      <c r="E53" s="21" t="inlineStr">
        <is>
          <t>Client identifié, session de caisse ouverte</t>
        </is>
      </c>
      <c r="F53" s="23" t="inlineStr">
        <is>
          <t>Accorder un crédit à la caisse</t>
        </is>
      </c>
      <c r="G53" s="21" t="inlineStr">
        <is>
          <t>1. Composer un ticket.
2. Paiement → Crédit.
3. Sélectionner le client.
4. Valider.</t>
        </is>
      </c>
      <c r="H53" s="21" t="inlineStr">
        <is>
          <t>La vente est enregistrée en crédit, l'encours du client augmente du montant exact.</t>
        </is>
      </c>
      <c r="I53" s="24" t="inlineStr">
        <is>
          <t>À tester</t>
        </is>
      </c>
      <c r="J53" s="24" t="inlineStr"/>
      <c r="K53" s="24" t="inlineStr"/>
      <c r="L53" s="24" t="inlineStr"/>
    </row>
    <row r="54" ht="58" customHeight="1">
      <c r="A54" s="20" t="inlineStr">
        <is>
          <t>F03</t>
        </is>
      </c>
      <c r="B54" s="21" t="inlineStr">
        <is>
          <t>Crédit clients (ardoises)</t>
        </is>
      </c>
      <c r="C54" s="21" t="inlineStr">
        <is>
          <t>aite_pos_credit</t>
        </is>
      </c>
      <c r="D54" s="22" t="inlineStr">
        <is>
          <t>1 - Critique</t>
        </is>
      </c>
      <c r="E54" s="21" t="inlineStr">
        <is>
          <t>Ardoises d'âges différents</t>
        </is>
      </c>
      <c r="F54" s="23" t="inlineStr">
        <is>
          <t>Repérer les ardoises à relancer</t>
        </is>
      </c>
      <c r="G54" s="21" t="inlineStr">
        <is>
          <t>1. Ouvrir POS Crédit → Ardoises.
2. Lire la colonne Sévérité et le tableau de bord du crédit.</t>
        </is>
      </c>
      <c r="H54" s="21" t="inlineStr">
        <is>
          <t>Chaque ardoise est classée selon son âge (Récente, En retard, Critique ; Réglée une fois soldée) ; les plus anciennes ressortent dans le tableau de bord. La relance se fait à la main.</t>
        </is>
      </c>
      <c r="I54" s="24" t="inlineStr">
        <is>
          <t>À tester</t>
        </is>
      </c>
      <c r="J54" s="24" t="inlineStr"/>
      <c r="K54" s="24" t="inlineStr"/>
      <c r="L54" s="24" t="inlineStr"/>
    </row>
    <row r="55" ht="58" customHeight="1">
      <c r="A55" s="20" t="inlineStr">
        <is>
          <t>F04</t>
        </is>
      </c>
      <c r="B55" s="21" t="inlineStr">
        <is>
          <t>Crédit clients (ardoises)</t>
        </is>
      </c>
      <c r="C55" s="21" t="inlineStr">
        <is>
          <t>aite_pos_credit</t>
        </is>
      </c>
      <c r="D55" s="22" t="inlineStr">
        <is>
          <t>1 - Critique</t>
        </is>
      </c>
      <c r="E55" s="21" t="inlineStr">
        <is>
          <t>Client avec encours</t>
        </is>
      </c>
      <c r="F55" s="23" t="inlineStr">
        <is>
          <t>Enregistrer un remboursement partiel</t>
        </is>
      </c>
      <c r="G55" s="21" t="inlineStr">
        <is>
          <t>1. Saisir un remboursement inférieur à l'encours (espèces).</t>
        </is>
      </c>
      <c r="H55" s="21" t="inlineStr">
        <is>
          <t>L'encours diminue du montant exact ; le règlement est tracé avec sa date et son mode.</t>
        </is>
      </c>
      <c r="I55" s="24" t="inlineStr">
        <is>
          <t>À tester</t>
        </is>
      </c>
      <c r="J55" s="24" t="inlineStr"/>
      <c r="K55" s="24" t="inlineStr"/>
      <c r="L55" s="24" t="inlineStr"/>
    </row>
    <row r="56" ht="58" customHeight="1">
      <c r="A56" s="20" t="inlineStr">
        <is>
          <t>F05</t>
        </is>
      </c>
      <c r="B56" s="21" t="inlineStr">
        <is>
          <t>Crédit clients (ardoises)</t>
        </is>
      </c>
      <c r="C56" s="21" t="inlineStr">
        <is>
          <t>aite_pos_credit</t>
        </is>
      </c>
      <c r="D56" s="22" t="inlineStr">
        <is>
          <t>1 - Critique</t>
        </is>
      </c>
      <c r="E56" s="21" t="inlineStr">
        <is>
          <t>Client avec encours</t>
        </is>
      </c>
      <c r="F56" s="23" t="inlineStr">
        <is>
          <t>Solder complètement une ardoise</t>
        </is>
      </c>
      <c r="G56" s="21" t="inlineStr">
        <is>
          <t>1. Enregistrer un remboursement égal au solde.</t>
        </is>
      </c>
      <c r="H56" s="21" t="inlineStr">
        <is>
          <t>L'encours passe à zéro et le client n'apparaît plus parmi les débiteurs.</t>
        </is>
      </c>
      <c r="I56" s="24" t="inlineStr">
        <is>
          <t>À tester</t>
        </is>
      </c>
      <c r="J56" s="24" t="inlineStr"/>
      <c r="K56" s="24" t="inlineStr"/>
      <c r="L56" s="24" t="inlineStr"/>
    </row>
    <row r="57" ht="58" customHeight="1">
      <c r="A57" s="20" t="inlineStr">
        <is>
          <t>F06</t>
        </is>
      </c>
      <c r="B57" s="21" t="inlineStr">
        <is>
          <t>Crédit clients (ardoises)</t>
        </is>
      </c>
      <c r="C57" s="21" t="inlineStr">
        <is>
          <t>aite_pos_credit</t>
        </is>
      </c>
      <c r="D57" s="21" t="inlineStr">
        <is>
          <t>2 - Majeur</t>
        </is>
      </c>
      <c r="E57" s="21" t="inlineStr">
        <is>
          <t>Plusieurs clients avec des crédits d'âges variés</t>
        </is>
      </c>
      <c r="F57" s="23" t="inlineStr">
        <is>
          <t>Contrôler la balance âgée</t>
        </is>
      </c>
      <c r="G57" s="21" t="inlineStr">
        <is>
          <t>1. Ouvrir le tableau de bord Crédit.
2. Examiner les tranches 0–30, 31–60, 61–90 et +90 jours.</t>
        </is>
      </c>
      <c r="H57" s="21" t="inlineStr">
        <is>
          <t>Chaque créance est classée dans la bonne tranche d'ancienneté et le total correspond à l'encours global.</t>
        </is>
      </c>
      <c r="I57" s="24" t="inlineStr">
        <is>
          <t>À tester</t>
        </is>
      </c>
      <c r="J57" s="24" t="inlineStr"/>
      <c r="K57" s="24" t="inlineStr"/>
      <c r="L57" s="24" t="inlineStr"/>
    </row>
    <row r="58" ht="58" customHeight="1">
      <c r="A58" s="20" t="inlineStr">
        <is>
          <t>F07</t>
        </is>
      </c>
      <c r="B58" s="21" t="inlineStr">
        <is>
          <t>Crédit clients (ardoises)</t>
        </is>
      </c>
      <c r="C58" s="21" t="inlineStr">
        <is>
          <t>aite_pos_credit</t>
        </is>
      </c>
      <c r="D58" s="21" t="inlineStr">
        <is>
          <t>2 - Majeur</t>
        </is>
      </c>
      <c r="E58" s="21" t="inlineStr">
        <is>
          <t>Encours réparti sur plusieurs clients</t>
        </is>
      </c>
      <c r="F58" s="23" t="inlineStr">
        <is>
          <t>Vérifier le top débiteurs</t>
        </is>
      </c>
      <c r="G58" s="21" t="inlineStr">
        <is>
          <t>1. Consulter la liste des principaux débiteurs.</t>
        </is>
      </c>
      <c r="H58" s="21" t="inlineStr">
        <is>
          <t>Le classement par montant est exact et l'ancienneté affichée correspond à la plus vieille créance.</t>
        </is>
      </c>
      <c r="I58" s="24" t="inlineStr">
        <is>
          <t>À tester</t>
        </is>
      </c>
      <c r="J58" s="24" t="inlineStr"/>
      <c r="K58" s="24" t="inlineStr"/>
      <c r="L58" s="24" t="inlineStr"/>
    </row>
    <row r="59" ht="58" customHeight="1">
      <c r="A59" s="20" t="inlineStr">
        <is>
          <t>F08</t>
        </is>
      </c>
      <c r="B59" s="21" t="inlineStr">
        <is>
          <t>Crédit clients (ardoises)</t>
        </is>
      </c>
      <c r="C59" s="21" t="inlineStr">
        <is>
          <t>aite_pos_credit</t>
        </is>
      </c>
      <c r="D59" s="21" t="inlineStr">
        <is>
          <t>2 - Majeur</t>
        </is>
      </c>
      <c r="E59" s="21" t="inlineStr">
        <is>
          <t>Remboursements du mois enregistrés</t>
        </is>
      </c>
      <c r="F59" s="23" t="inlineStr">
        <is>
          <t>Contrôler le taux de recouvrement et le flux net</t>
        </is>
      </c>
      <c r="G59" s="21" t="inlineStr">
        <is>
          <t>1. Consulter les indicateurs de recouvrement du mois.</t>
        </is>
      </c>
      <c r="H59" s="21" t="inlineStr">
        <is>
          <t>Recouvré, nouveaux crédits et flux net sont cohérents avec les mouvements saisis.</t>
        </is>
      </c>
      <c r="I59" s="24" t="inlineStr">
        <is>
          <t>À tester</t>
        </is>
      </c>
      <c r="J59" s="24" t="inlineStr"/>
      <c r="K59" s="24" t="inlineStr"/>
      <c r="L59" s="24" t="inlineStr"/>
    </row>
    <row r="60" ht="58" customHeight="1">
      <c r="A60" s="20" t="inlineStr">
        <is>
          <t>F09</t>
        </is>
      </c>
      <c r="B60" s="21" t="inlineStr">
        <is>
          <t>Crédit clients (ardoises)</t>
        </is>
      </c>
      <c r="C60" s="21" t="inlineStr">
        <is>
          <t>aite_pos_credit</t>
        </is>
      </c>
      <c r="D60" s="21" t="inlineStr">
        <is>
          <t>2 - Majeur</t>
        </is>
      </c>
      <c r="E60" s="21" t="inlineStr">
        <is>
          <t>Client avec crédit en cours</t>
        </is>
      </c>
      <c r="F60" s="23" t="inlineStr">
        <is>
          <t>Rembourser par Mobile Money</t>
        </is>
      </c>
      <c r="G60" s="21" t="inlineStr">
        <is>
          <t>1. Enregistrer un remboursement via Mobile Money.</t>
        </is>
      </c>
      <c r="H60" s="21" t="inlineStr">
        <is>
          <t>Le règlement est imputé au bon journal et distingué des espèces dans les états.</t>
        </is>
      </c>
      <c r="I60" s="24" t="inlineStr">
        <is>
          <t>À tester</t>
        </is>
      </c>
      <c r="J60" s="24" t="inlineStr"/>
      <c r="K60" s="24" t="inlineStr"/>
      <c r="L60" s="24" t="inlineStr"/>
    </row>
    <row r="61" ht="58" customHeight="1">
      <c r="A61" s="20" t="inlineStr">
        <is>
          <t>F10</t>
        </is>
      </c>
      <c r="B61" s="21" t="inlineStr">
        <is>
          <t>Crédit clients (ardoises)</t>
        </is>
      </c>
      <c r="C61" s="21" t="inlineStr">
        <is>
          <t>aite_pos_credit</t>
        </is>
      </c>
      <c r="D61" s="21" t="inlineStr">
        <is>
          <t>2 - Majeur</t>
        </is>
      </c>
      <c r="E61" s="21" t="inlineStr">
        <is>
          <t>Crédits accordés et remboursés</t>
        </is>
      </c>
      <c r="F61" s="23" t="inlineStr">
        <is>
          <t>Vérifier les écritures comptables du crédit</t>
        </is>
      </c>
      <c r="G61" s="21" t="inlineStr">
        <is>
          <t>1. Contrôler les écritures générées à l'octroi et au remboursement.</t>
        </is>
      </c>
      <c r="H61" s="21" t="inlineStr">
        <is>
          <t>Les comptes clients sont mouvementés correctement, sans écriture orpheline ni double comptabilisation.</t>
        </is>
      </c>
      <c r="I61" s="24" t="inlineStr">
        <is>
          <t>À tester</t>
        </is>
      </c>
      <c r="J61" s="24" t="inlineStr"/>
      <c r="K61" s="24" t="inlineStr"/>
      <c r="L61" s="24" t="inlineStr"/>
    </row>
    <row r="62" ht="58" customHeight="1">
      <c r="A62" s="20" t="inlineStr">
        <is>
          <t>F11</t>
        </is>
      </c>
      <c r="B62" s="21" t="inlineStr">
        <is>
          <t>Crédit clients (ardoises)</t>
        </is>
      </c>
      <c r="C62" s="21" t="inlineStr">
        <is>
          <t>aite_pos_credit</t>
        </is>
      </c>
      <c r="D62" s="21" t="inlineStr">
        <is>
          <t>3 - Mineur</t>
        </is>
      </c>
      <c r="E62" s="21" t="inlineStr">
        <is>
          <t>Plusieurs caisses accordant du crédit</t>
        </is>
      </c>
      <c r="F62" s="23" t="inlineStr">
        <is>
          <t>Suivre le crédit par caisse</t>
        </is>
      </c>
      <c r="G62" s="21" t="inlineStr">
        <is>
          <t>1. Filtrer l'encours par point de vente.</t>
        </is>
      </c>
      <c r="H62" s="21" t="inlineStr">
        <is>
          <t>La répartition par caisse est exacte et le total consolidé est conservé.</t>
        </is>
      </c>
      <c r="I62" s="24" t="inlineStr">
        <is>
          <t>À tester</t>
        </is>
      </c>
      <c r="J62" s="24" t="inlineStr"/>
      <c r="K62" s="24" t="inlineStr"/>
      <c r="L62" s="24" t="inlineStr"/>
    </row>
    <row r="63" ht="58" customHeight="1">
      <c r="A63" s="20" t="inlineStr">
        <is>
          <t>F12</t>
        </is>
      </c>
      <c r="B63" s="21" t="inlineStr">
        <is>
          <t>Crédit clients (ardoises)</t>
        </is>
      </c>
      <c r="C63" s="21" t="inlineStr">
        <is>
          <t>aite_pos_credit</t>
        </is>
      </c>
      <c r="D63" s="21" t="inlineStr">
        <is>
          <t>3 - Mineur</t>
        </is>
      </c>
      <c r="E63" s="21" t="inlineStr">
        <is>
          <t>Client débiteur de plus de 30 jours</t>
        </is>
      </c>
      <c r="F63" s="23" t="inlineStr">
        <is>
          <t>Éditer un relevé ou une relance client</t>
        </is>
      </c>
      <c r="G63" s="21" t="inlineStr">
        <is>
          <t>1. Générer le relevé de compte du client.</t>
        </is>
      </c>
      <c r="H63" s="21" t="inlineStr">
        <is>
          <t>Le document liste les créances avec leurs dates et le solde dû exact.</t>
        </is>
      </c>
      <c r="I63" s="24" t="inlineStr">
        <is>
          <t>À tester</t>
        </is>
      </c>
      <c r="J63" s="24" t="inlineStr"/>
      <c r="K63" s="24" t="inlineStr"/>
      <c r="L63" s="24" t="inlineStr"/>
    </row>
    <row r="64" ht="58" customHeight="1">
      <c r="A64" s="20" t="inlineStr">
        <is>
          <t>G01</t>
        </is>
      </c>
      <c r="B64" s="21" t="inlineStr">
        <is>
          <t>Fidélité</t>
        </is>
      </c>
      <c r="C64" s="21" t="inlineStr">
        <is>
          <t>aite_loyalty</t>
        </is>
      </c>
      <c r="D64" s="22" t="inlineStr">
        <is>
          <t>1 - Critique</t>
        </is>
      </c>
      <c r="E64" s="21" t="inlineStr">
        <is>
          <t>Module installé</t>
        </is>
      </c>
      <c r="F64" s="23" t="inlineStr">
        <is>
          <t>Paramétrer le taux de points et les seuils VIP</t>
        </is>
      </c>
      <c r="G64" s="21" t="inlineStr">
        <is>
          <t>1. Paramètres → Fidélité.
2. Définir les points par 1 000 F et les seuils VIP / VVIP.
3. Enregistrer.</t>
        </is>
      </c>
      <c r="H64" s="21" t="inlineStr">
        <is>
          <t>Les règles sont enregistrées et reprises lors des calculs suivants.</t>
        </is>
      </c>
      <c r="I64" s="24" t="inlineStr">
        <is>
          <t>À tester</t>
        </is>
      </c>
      <c r="J64" s="24" t="inlineStr"/>
      <c r="K64" s="24" t="inlineStr"/>
      <c r="L64" s="24" t="inlineStr"/>
    </row>
    <row r="65" ht="58" customHeight="1">
      <c r="A65" s="20" t="inlineStr">
        <is>
          <t>G02</t>
        </is>
      </c>
      <c r="B65" s="21" t="inlineStr">
        <is>
          <t>Fidélité</t>
        </is>
      </c>
      <c r="C65" s="21" t="inlineStr">
        <is>
          <t>aite_loyalty</t>
        </is>
      </c>
      <c r="D65" s="22" t="inlineStr">
        <is>
          <t>1 - Critique</t>
        </is>
      </c>
      <c r="E65" s="21" t="inlineStr">
        <is>
          <t>Règles définies, client identifié en caisse</t>
        </is>
      </c>
      <c r="F65" s="23" t="inlineStr">
        <is>
          <t>Cumuler des points sur une vente</t>
        </is>
      </c>
      <c r="G65" s="21" t="inlineStr">
        <is>
          <t>1. Encaisser une vente avec le client sélectionné.</t>
        </is>
      </c>
      <c r="H65" s="21" t="inlineStr">
        <is>
          <t>Les points crédités correspondent exactement au montant dépensé et au taux paramétré.</t>
        </is>
      </c>
      <c r="I65" s="24" t="inlineStr">
        <is>
          <t>À tester</t>
        </is>
      </c>
      <c r="J65" s="24" t="inlineStr"/>
      <c r="K65" s="24" t="inlineStr"/>
      <c r="L65" s="24" t="inlineStr"/>
    </row>
    <row r="66" ht="58" customHeight="1">
      <c r="A66" s="20" t="inlineStr">
        <is>
          <t>G03</t>
        </is>
      </c>
      <c r="B66" s="21" t="inlineStr">
        <is>
          <t>Fidélité</t>
        </is>
      </c>
      <c r="C66" s="21" t="inlineStr">
        <is>
          <t>aite_loyalty</t>
        </is>
      </c>
      <c r="D66" s="22" t="inlineStr">
        <is>
          <t>1 - Critique</t>
        </is>
      </c>
      <c r="E66" s="21" t="inlineStr">
        <is>
          <t>Client proche du seuil VIP</t>
        </is>
      </c>
      <c r="F66" s="23" t="inlineStr">
        <is>
          <t>Déclencher le passage au niveau VIP</t>
        </is>
      </c>
      <c r="G66" s="21" t="inlineStr">
        <is>
          <t>1. Réaliser la vente qui fait franchir le seuil.
2. Consulter la fiche client.</t>
        </is>
      </c>
      <c r="H66" s="21" t="inlineStr">
        <is>
          <t>Le niveau passe à VIP au recalcul quotidien des statuts (tâche planifiée « Fidélité : recalcul des statuts clients »), dès que les seuils de dépenses ET de visites sont atteints.</t>
        </is>
      </c>
      <c r="I66" s="24" t="inlineStr">
        <is>
          <t>À tester</t>
        </is>
      </c>
      <c r="J66" s="24" t="inlineStr"/>
      <c r="K66" s="24" t="inlineStr"/>
      <c r="L66" s="24" t="inlineStr"/>
    </row>
    <row r="67" ht="58" customHeight="1">
      <c r="A67" s="20" t="inlineStr">
        <is>
          <t>G04</t>
        </is>
      </c>
      <c r="B67" s="21" t="inlineStr">
        <is>
          <t>Fidélité</t>
        </is>
      </c>
      <c r="C67" s="21" t="inlineStr">
        <is>
          <t>aite_loyalty</t>
        </is>
      </c>
      <c r="D67" s="21" t="inlineStr">
        <is>
          <t>2 - Majeur</t>
        </is>
      </c>
      <c r="E67" s="21" t="inlineStr">
        <is>
          <t>Client VIP proche du seuil VVIP</t>
        </is>
      </c>
      <c r="F67" s="23" t="inlineStr">
        <is>
          <t>Déclencher le passage VVIP</t>
        </is>
      </c>
      <c r="G67" s="21" t="inlineStr">
        <is>
          <t>1. Franchir les seuils de dépenses, de visites et de pôles (hébergement, restauration, prestations) requis.</t>
        </is>
      </c>
      <c r="H67" s="21" t="inlineStr">
        <is>
          <t>Le niveau VVIP n'est attribué que si les trois conditions paramétrées sont remplies.</t>
        </is>
      </c>
      <c r="I67" s="24" t="inlineStr">
        <is>
          <t>À tester</t>
        </is>
      </c>
      <c r="J67" s="24" t="inlineStr"/>
      <c r="K67" s="24" t="inlineStr"/>
      <c r="L67" s="24" t="inlineStr"/>
    </row>
    <row r="68" ht="58" customHeight="1">
      <c r="A68" s="20" t="inlineStr">
        <is>
          <t>G05</t>
        </is>
      </c>
      <c r="B68" s="21" t="inlineStr">
        <is>
          <t>Fidélité</t>
        </is>
      </c>
      <c r="C68" s="21" t="inlineStr">
        <is>
          <t>aite_loyalty</t>
        </is>
      </c>
      <c r="D68" s="21" t="inlineStr">
        <is>
          <t>2 - Majeur</t>
        </is>
      </c>
      <c r="E68" s="21" t="inlineStr">
        <is>
          <t>Catégorie comptant double paramétrée</t>
        </is>
      </c>
      <c r="F68" s="23" t="inlineStr">
        <is>
          <t>Vérifier les catégories à points doublés</t>
        </is>
      </c>
      <c r="G68" s="21" t="inlineStr">
        <is>
          <t>1. Vendre un produit de la catégorie concernée.</t>
        </is>
      </c>
      <c r="H68" s="21" t="inlineStr">
        <is>
          <t>Les points crédités sont doublés uniquement pour cette catégorie.</t>
        </is>
      </c>
      <c r="I68" s="24" t="inlineStr">
        <is>
          <t>À tester</t>
        </is>
      </c>
      <c r="J68" s="24" t="inlineStr"/>
      <c r="K68" s="24" t="inlineStr"/>
      <c r="L68" s="24" t="inlineStr"/>
    </row>
    <row r="69" ht="58" customHeight="1">
      <c r="A69" s="20" t="inlineStr">
        <is>
          <t>G06</t>
        </is>
      </c>
      <c r="B69" s="21" t="inlineStr">
        <is>
          <t>Fidélité</t>
        </is>
      </c>
      <c r="C69" s="21" t="inlineStr">
        <is>
          <t>aite_loyalty</t>
        </is>
      </c>
      <c r="D69" s="21" t="inlineStr">
        <is>
          <t>2 - Majeur</t>
        </is>
      </c>
      <c r="E69" s="21" t="inlineStr">
        <is>
          <t>Clients avec points cumulés</t>
        </is>
      </c>
      <c r="F69" s="23" t="inlineStr">
        <is>
          <t>Consulter le classement des clients fidèles</t>
        </is>
      </c>
      <c r="G69" s="21" t="inlineStr">
        <is>
          <t>1. Ouvrir le classement des meilleurs clients.</t>
        </is>
      </c>
      <c r="H69" s="21" t="inlineStr">
        <is>
          <t>Les totaux de points et les niveaux affichés correspondent aux fiches clients.</t>
        </is>
      </c>
      <c r="I69" s="24" t="inlineStr">
        <is>
          <t>À tester</t>
        </is>
      </c>
      <c r="J69" s="24" t="inlineStr"/>
      <c r="K69" s="24" t="inlineStr"/>
      <c r="L69" s="24" t="inlineStr"/>
    </row>
    <row r="70" ht="58" customHeight="1">
      <c r="A70" s="20" t="inlineStr">
        <is>
          <t>G07</t>
        </is>
      </c>
      <c r="B70" s="21" t="inlineStr">
        <is>
          <t>Fidélité</t>
        </is>
      </c>
      <c r="C70" s="21" t="inlineStr">
        <is>
          <t>aite_loyalty</t>
        </is>
      </c>
      <c r="D70" s="21" t="inlineStr">
        <is>
          <t>2 - Majeur</t>
        </is>
      </c>
      <c r="E70" s="21" t="inlineStr">
        <is>
          <t>Client fidèle identifié</t>
        </is>
      </c>
      <c r="F70" s="23" t="inlineStr">
        <is>
          <t>Afficher le niveau du client au moment de l'encaissement</t>
        </is>
      </c>
      <c r="G70" s="21" t="inlineStr">
        <is>
          <t>1. Sélectionner le client au POS.</t>
        </is>
      </c>
      <c r="H70" s="21" t="inlineStr">
        <is>
          <t>Le niveau (VIP / VVIP) est visible par le caissier avant validation du paiement.</t>
        </is>
      </c>
      <c r="I70" s="24" t="inlineStr">
        <is>
          <t>À tester</t>
        </is>
      </c>
      <c r="J70" s="24" t="inlineStr"/>
      <c r="K70" s="24" t="inlineStr"/>
      <c r="L70" s="24" t="inlineStr"/>
    </row>
    <row r="71" ht="58" customHeight="1">
      <c r="A71" s="20" t="inlineStr">
        <is>
          <t>G08</t>
        </is>
      </c>
      <c r="B71" s="21" t="inlineStr">
        <is>
          <t>Fidélité</t>
        </is>
      </c>
      <c r="C71" s="21" t="inlineStr">
        <is>
          <t>aite_loyalty</t>
        </is>
      </c>
      <c r="D71" s="21" t="inlineStr">
        <is>
          <t>3 - Mineur</t>
        </is>
      </c>
      <c r="E71" s="21" t="inlineStr">
        <is>
          <t>Client sans fiche</t>
        </is>
      </c>
      <c r="F71" s="23" t="inlineStr">
        <is>
          <t>Vendre sans client identifié</t>
        </is>
      </c>
      <c r="G71" s="21" t="inlineStr">
        <is>
          <t>1. Encaisser une vente sans sélectionner de client.</t>
        </is>
      </c>
      <c r="H71" s="21" t="inlineStr">
        <is>
          <t>La vente aboutit normalement ; aucun point n'est attribué et aucune erreur n'est levée.</t>
        </is>
      </c>
      <c r="I71" s="24" t="inlineStr">
        <is>
          <t>À tester</t>
        </is>
      </c>
      <c r="J71" s="24" t="inlineStr"/>
      <c r="K71" s="24" t="inlineStr"/>
      <c r="L71" s="24" t="inlineStr"/>
    </row>
    <row r="72" ht="58" customHeight="1">
      <c r="A72" s="20" t="inlineStr">
        <is>
          <t>H01</t>
        </is>
      </c>
      <c r="B72" s="21" t="inlineStr">
        <is>
          <t>Stock &amp; inventaire</t>
        </is>
      </c>
      <c r="C72" s="21" t="inlineStr">
        <is>
          <t>aite_stock_dashboard</t>
        </is>
      </c>
      <c r="D72" s="22" t="inlineStr">
        <is>
          <t>1 - Critique</t>
        </is>
      </c>
      <c r="E72" s="21" t="inlineStr">
        <is>
          <t>Articles avec stock initial et prix d'achat</t>
        </is>
      </c>
      <c r="F72" s="23" t="inlineStr">
        <is>
          <t>Contrôler la valorisation du stock</t>
        </is>
      </c>
      <c r="G72" s="21" t="inlineStr">
        <is>
          <t>1. Ouvrir le tableau de bord Stock.</t>
        </is>
      </c>
      <c r="H72" s="21" t="inlineStr">
        <is>
          <t>Les valeurs au coût et au prix de vente correspondent aux quantités multipliées par les prix renseignés.</t>
        </is>
      </c>
      <c r="I72" s="24" t="inlineStr">
        <is>
          <t>À tester</t>
        </is>
      </c>
      <c r="J72" s="24" t="inlineStr"/>
      <c r="K72" s="24" t="inlineStr"/>
      <c r="L72" s="24" t="inlineStr"/>
    </row>
    <row r="73" ht="58" customHeight="1">
      <c r="A73" s="20" t="inlineStr">
        <is>
          <t>H02</t>
        </is>
      </c>
      <c r="B73" s="21" t="inlineStr">
        <is>
          <t>Stock &amp; inventaire</t>
        </is>
      </c>
      <c r="C73" s="21" t="inlineStr">
        <is>
          <t>aite_stock_dashboard</t>
        </is>
      </c>
      <c r="D73" s="22" t="inlineStr">
        <is>
          <t>1 - Critique</t>
        </is>
      </c>
      <c r="E73" s="21" t="inlineStr">
        <is>
          <t>Article avec seuil d'alerte défini</t>
        </is>
      </c>
      <c r="F73" s="23" t="inlineStr">
        <is>
          <t>Déclencher une alerte de rupture</t>
        </is>
      </c>
      <c r="G73" s="21" t="inlineStr">
        <is>
          <t>1. Vendre jusqu'à passer sous le seuil, puis jusqu'à zéro.
2. Consulter les alertes.</t>
        </is>
      </c>
      <c r="H73" s="21" t="inlineStr">
        <is>
          <t>L'article apparaît successivement en Sous seuil, Critique puis Rupture, selon les règles définies.</t>
        </is>
      </c>
      <c r="I73" s="24" t="inlineStr">
        <is>
          <t>À tester</t>
        </is>
      </c>
      <c r="J73" s="24" t="inlineStr"/>
      <c r="K73" s="24" t="inlineStr"/>
      <c r="L73" s="24" t="inlineStr"/>
    </row>
    <row r="74" ht="58" customHeight="1">
      <c r="A74" s="20" t="inlineStr">
        <is>
          <t>H03</t>
        </is>
      </c>
      <c r="B74" s="21" t="inlineStr">
        <is>
          <t>Stock &amp; inventaire</t>
        </is>
      </c>
      <c r="C74" s="21" t="inlineStr">
        <is>
          <t>aite_stock_dashboard</t>
        </is>
      </c>
      <c r="D74" s="22" t="inlineStr">
        <is>
          <t>1 - Critique</t>
        </is>
      </c>
      <c r="E74" s="21" t="inlineStr">
        <is>
          <t>Articles en alerte</t>
        </is>
      </c>
      <c r="F74" s="23" t="inlineStr">
        <is>
          <t>Vérifier les quantités suggérées à commander</t>
        </is>
      </c>
      <c r="G74" s="21" t="inlineStr">
        <is>
          <t>1. Consulter la colonne des quantités suggérées.</t>
        </is>
      </c>
      <c r="H74" s="21" t="inlineStr">
        <is>
          <t>La suggestion tient compte du seuil, de la consommation et du délai de réapprovisionnement.</t>
        </is>
      </c>
      <c r="I74" s="24" t="inlineStr">
        <is>
          <t>À tester</t>
        </is>
      </c>
      <c r="J74" s="24" t="inlineStr"/>
      <c r="K74" s="24" t="inlineStr"/>
      <c r="L74" s="24" t="inlineStr"/>
    </row>
    <row r="75" ht="58" customHeight="1">
      <c r="A75" s="20" t="inlineStr">
        <is>
          <t>H04</t>
        </is>
      </c>
      <c r="B75" s="21" t="inlineStr">
        <is>
          <t>Stock &amp; inventaire</t>
        </is>
      </c>
      <c r="C75" s="21" t="inlineStr">
        <is>
          <t>aite_stock_dashboard</t>
        </is>
      </c>
      <c r="D75" s="22" t="inlineStr">
        <is>
          <t>1 - Critique</t>
        </is>
      </c>
      <c r="E75" s="21" t="inlineStr">
        <is>
          <t>Stock théorique connu sur plusieurs articles</t>
        </is>
      </c>
      <c r="F75" s="23" t="inlineStr">
        <is>
          <t>Réaliser un inventaire tournant avec écarts</t>
        </is>
      </c>
      <c r="G75" s="21" t="inlineStr">
        <is>
          <t>1. Saisir un inventaire avec des quantités comptées différentes.
2. Valider.</t>
        </is>
      </c>
      <c r="H75" s="21" t="inlineStr">
        <is>
          <t>Les écarts sont calculés, valorisés, et le stock est ajusté après validation.</t>
        </is>
      </c>
      <c r="I75" s="24" t="inlineStr">
        <is>
          <t>À tester</t>
        </is>
      </c>
      <c r="J75" s="24" t="inlineStr"/>
      <c r="K75" s="24" t="inlineStr"/>
      <c r="L75" s="24" t="inlineStr"/>
    </row>
    <row r="76" ht="58" customHeight="1">
      <c r="A76" s="20" t="inlineStr">
        <is>
          <t>H05</t>
        </is>
      </c>
      <c r="B76" s="21" t="inlineStr">
        <is>
          <t>Stock &amp; inventaire</t>
        </is>
      </c>
      <c r="C76" s="21" t="inlineStr">
        <is>
          <t>aite_stock_dashboard</t>
        </is>
      </c>
      <c r="D76" s="22" t="inlineStr">
        <is>
          <t>1 - Critique</t>
        </is>
      </c>
      <c r="E76" s="21" t="inlineStr">
        <is>
          <t>Ventes et inventaires sur le mois</t>
        </is>
      </c>
      <c r="F76" s="23" t="inlineStr">
        <is>
          <t>Contrôler le calcul du coulage</t>
        </is>
      </c>
      <c r="G76" s="21" t="inlineStr">
        <is>
          <t>1. Consulter l'indicateur de coulage du mois.</t>
        </is>
      </c>
      <c r="H76" s="21" t="inlineStr">
        <is>
          <t>Le coulage correspond aux écarts constatés, et l'alerte se déclenche si le seuil défini est dépassé.</t>
        </is>
      </c>
      <c r="I76" s="24" t="inlineStr">
        <is>
          <t>À tester</t>
        </is>
      </c>
      <c r="J76" s="24" t="inlineStr"/>
      <c r="K76" s="24" t="inlineStr"/>
      <c r="L76" s="24" t="inlineStr"/>
    </row>
    <row r="77" ht="58" customHeight="1">
      <c r="A77" s="20" t="inlineStr">
        <is>
          <t>H06</t>
        </is>
      </c>
      <c r="B77" s="21" t="inlineStr">
        <is>
          <t>Stock &amp; inventaire</t>
        </is>
      </c>
      <c r="C77" s="21" t="inlineStr">
        <is>
          <t>aite_stock_dashboard</t>
        </is>
      </c>
      <c r="D77" s="21" t="inlineStr">
        <is>
          <t>2 - Majeur</t>
        </is>
      </c>
      <c r="E77" s="21" t="inlineStr">
        <is>
          <t>Ventes régulières sur un article</t>
        </is>
      </c>
      <c r="F77" s="23" t="inlineStr">
        <is>
          <t>Vérifier la couverture de stock en jours</t>
        </is>
      </c>
      <c r="G77" s="21" t="inlineStr">
        <is>
          <t>1. Consulter la couverture affichée pour l'article.</t>
        </is>
      </c>
      <c r="H77" s="21" t="inlineStr">
        <is>
          <t>La couverture est cohérente avec le rythme de vente constaté.</t>
        </is>
      </c>
      <c r="I77" s="24" t="inlineStr">
        <is>
          <t>À tester</t>
        </is>
      </c>
      <c r="J77" s="24" t="inlineStr"/>
      <c r="K77" s="24" t="inlineStr"/>
      <c r="L77" s="24" t="inlineStr"/>
    </row>
    <row r="78" ht="58" customHeight="1">
      <c r="A78" s="20" t="inlineStr">
        <is>
          <t>H07</t>
        </is>
      </c>
      <c r="B78" s="21" t="inlineStr">
        <is>
          <t>Stock &amp; inventaire</t>
        </is>
      </c>
      <c r="C78" s="21" t="inlineStr">
        <is>
          <t>aite_stock_dashboard</t>
        </is>
      </c>
      <c r="D78" s="21" t="inlineStr">
        <is>
          <t>2 - Majeur</t>
        </is>
      </c>
      <c r="E78" s="21" t="inlineStr">
        <is>
          <t>Article sans vente depuis plus de 30 jours</t>
        </is>
      </c>
      <c r="F78" s="23" t="inlineStr">
        <is>
          <t>Identifier les articles dormants</t>
        </is>
      </c>
      <c r="G78" s="21" t="inlineStr">
        <is>
          <t>1. Consulter la liste des articles dormants.</t>
        </is>
      </c>
      <c r="H78" s="21" t="inlineStr">
        <is>
          <t>L'article apparaît avec sa valeur immobilisée.</t>
        </is>
      </c>
      <c r="I78" s="24" t="inlineStr">
        <is>
          <t>À tester</t>
        </is>
      </c>
      <c r="J78" s="24" t="inlineStr"/>
      <c r="K78" s="24" t="inlineStr"/>
      <c r="L78" s="24" t="inlineStr"/>
    </row>
    <row r="79" ht="58" customHeight="1">
      <c r="A79" s="20" t="inlineStr">
        <is>
          <t>H08</t>
        </is>
      </c>
      <c r="B79" s="21" t="inlineStr">
        <is>
          <t>Stock &amp; inventaire</t>
        </is>
      </c>
      <c r="C79" s="21" t="inlineStr">
        <is>
          <t>aite_stock_dashboard</t>
        </is>
      </c>
      <c r="D79" s="21" t="inlineStr">
        <is>
          <t>2 - Majeur</t>
        </is>
      </c>
      <c r="E79" s="21" t="inlineStr">
        <is>
          <t>Plusieurs dépôts configurés (cave, bar)</t>
        </is>
      </c>
      <c r="F79" s="23" t="inlineStr">
        <is>
          <t>Transférer du stock entre deux dépôts</t>
        </is>
      </c>
      <c r="G79" s="21" t="inlineStr">
        <is>
          <t>1. Effectuer un transfert cave → bar.
2. Contrôler les deux dépôts.</t>
        </is>
      </c>
      <c r="H79" s="21" t="inlineStr">
        <is>
          <t>Les quantités sont décrémentées et incrémentées correctement ; le mouvement est tracé.</t>
        </is>
      </c>
      <c r="I79" s="24" t="inlineStr">
        <is>
          <t>À tester</t>
        </is>
      </c>
      <c r="J79" s="24" t="inlineStr"/>
      <c r="K79" s="24" t="inlineStr"/>
      <c r="L79" s="24" t="inlineStr"/>
    </row>
    <row r="80" ht="58" customHeight="1">
      <c r="A80" s="20" t="inlineStr">
        <is>
          <t>H09</t>
        </is>
      </c>
      <c r="B80" s="21" t="inlineStr">
        <is>
          <t>Stock &amp; inventaire</t>
        </is>
      </c>
      <c r="C80" s="21" t="inlineStr">
        <is>
          <t>aite_stock_dashboard</t>
        </is>
      </c>
      <c r="D80" s="21" t="inlineStr">
        <is>
          <t>3 - Mineur</t>
        </is>
      </c>
      <c r="E80" s="21" t="inlineStr">
        <is>
          <t>Ventes au POS sur des articles stockés</t>
        </is>
      </c>
      <c r="F80" s="23" t="inlineStr">
        <is>
          <t>Vérifier la décrémentation automatique du stock</t>
        </is>
      </c>
      <c r="G80" s="21" t="inlineStr">
        <is>
          <t>1. Vendre un article au POS.
2. Contrôler son stock.</t>
        </is>
      </c>
      <c r="H80" s="21" t="inlineStr">
        <is>
          <t>Le stock diminue de la quantité vendue, sans décalage ni double décrémentation.</t>
        </is>
      </c>
      <c r="I80" s="24" t="inlineStr">
        <is>
          <t>À tester</t>
        </is>
      </c>
      <c r="J80" s="24" t="inlineStr"/>
      <c r="K80" s="24" t="inlineStr"/>
      <c r="L80" s="24" t="inlineStr"/>
    </row>
    <row r="81" ht="58" customHeight="1">
      <c r="A81" s="20" t="inlineStr">
        <is>
          <t>I01</t>
        </is>
      </c>
      <c r="B81" s="21" t="inlineStr">
        <is>
          <t>Achats &amp; fournisseurs</t>
        </is>
      </c>
      <c r="C81" s="21" t="inlineStr">
        <is>
          <t>aite_purchase_dashboard</t>
        </is>
      </c>
      <c r="D81" s="22" t="inlineStr">
        <is>
          <t>1 - Critique</t>
        </is>
      </c>
      <c r="E81" s="21" t="inlineStr">
        <is>
          <t>Fournisseur créé, articles référencés</t>
        </is>
      </c>
      <c r="F81" s="23" t="inlineStr">
        <is>
          <t>Créer un bon de commande fournisseur</t>
        </is>
      </c>
      <c r="G81" s="21" t="inlineStr">
        <is>
          <t>1. Achats → Créer une commande.
2. Ajouter les articles et les quantités.
3. Confirmer.</t>
        </is>
      </c>
      <c r="H81" s="21" t="inlineStr">
        <is>
          <t>La commande est confirmée avec un montant total exact en FCFA.</t>
        </is>
      </c>
      <c r="I81" s="24" t="inlineStr">
        <is>
          <t>À tester</t>
        </is>
      </c>
      <c r="J81" s="24" t="inlineStr"/>
      <c r="K81" s="24" t="inlineStr"/>
      <c r="L81" s="24" t="inlineStr"/>
    </row>
    <row r="82" ht="58" customHeight="1">
      <c r="A82" s="20" t="inlineStr">
        <is>
          <t>I02</t>
        </is>
      </c>
      <c r="B82" s="21" t="inlineStr">
        <is>
          <t>Achats &amp; fournisseurs</t>
        </is>
      </c>
      <c r="C82" s="21" t="inlineStr">
        <is>
          <t>aite_purchase_dashboard</t>
        </is>
      </c>
      <c r="D82" s="22" t="inlineStr">
        <is>
          <t>1 - Critique</t>
        </is>
      </c>
      <c r="E82" s="21" t="inlineStr">
        <is>
          <t>Commande fournisseur confirmée</t>
        </is>
      </c>
      <c r="F82" s="23" t="inlineStr">
        <is>
          <t>Réceptionner une commande complète</t>
        </is>
      </c>
      <c r="G82" s="21" t="inlineStr">
        <is>
          <t>1. Valider la réception des quantités commandées.</t>
        </is>
      </c>
      <c r="H82" s="21" t="inlineStr">
        <is>
          <t>Le stock est mis à jour et la commande passe au statut reçu.</t>
        </is>
      </c>
      <c r="I82" s="24" t="inlineStr">
        <is>
          <t>À tester</t>
        </is>
      </c>
      <c r="J82" s="24" t="inlineStr"/>
      <c r="K82" s="24" t="inlineStr"/>
      <c r="L82" s="24" t="inlineStr"/>
    </row>
    <row r="83" ht="58" customHeight="1">
      <c r="A83" s="20" t="inlineStr">
        <is>
          <t>I03</t>
        </is>
      </c>
      <c r="B83" s="21" t="inlineStr">
        <is>
          <t>Achats &amp; fournisseurs</t>
        </is>
      </c>
      <c r="C83" s="21" t="inlineStr">
        <is>
          <t>aite_purchase_dashboard</t>
        </is>
      </c>
      <c r="D83" s="22" t="inlineStr">
        <is>
          <t>1 - Critique</t>
        </is>
      </c>
      <c r="E83" s="21" t="inlineStr">
        <is>
          <t>Commande fournisseur confirmée</t>
        </is>
      </c>
      <c r="F83" s="23" t="inlineStr">
        <is>
          <t>Réceptionner partiellement une commande</t>
        </is>
      </c>
      <c r="G83" s="21" t="inlineStr">
        <is>
          <t>1. Réceptionner une quantité inférieure à la commande.</t>
        </is>
      </c>
      <c r="H83" s="21" t="inlineStr">
        <is>
          <t>L'écart est visible, le reliquat reste attendu, et le stock n'augmente que des quantités réellement reçues.</t>
        </is>
      </c>
      <c r="I83" s="24" t="inlineStr">
        <is>
          <t>À tester</t>
        </is>
      </c>
      <c r="J83" s="24" t="inlineStr"/>
      <c r="K83" s="24" t="inlineStr"/>
      <c r="L83" s="24" t="inlineStr"/>
    </row>
    <row r="84" ht="58" customHeight="1">
      <c r="A84" s="20" t="inlineStr">
        <is>
          <t>I04</t>
        </is>
      </c>
      <c r="B84" s="21" t="inlineStr">
        <is>
          <t>Achats &amp; fournisseurs</t>
        </is>
      </c>
      <c r="C84" s="21" t="inlineStr">
        <is>
          <t>aite_purchase_dashboard</t>
        </is>
      </c>
      <c r="D84" s="22" t="inlineStr">
        <is>
          <t>1 - Critique</t>
        </is>
      </c>
      <c r="E84" s="21" t="inlineStr">
        <is>
          <t>Réception effectuée</t>
        </is>
      </c>
      <c r="F84" s="23" t="inlineStr">
        <is>
          <t>Enregistrer la facture fournisseur et son échéance</t>
        </is>
      </c>
      <c r="G84" s="21" t="inlineStr">
        <is>
          <t>1. Créer la facture depuis la réception.
2. Renseigner l'échéance.</t>
        </is>
      </c>
      <c r="H84" s="21" t="inlineStr">
        <is>
          <t>La facture est rattachée à la commande et apparaît dans l'échéancier à la bonne semaine.</t>
        </is>
      </c>
      <c r="I84" s="24" t="inlineStr">
        <is>
          <t>À tester</t>
        </is>
      </c>
      <c r="J84" s="24" t="inlineStr"/>
      <c r="K84" s="24" t="inlineStr"/>
      <c r="L84" s="24" t="inlineStr"/>
    </row>
    <row r="85" ht="58" customHeight="1">
      <c r="A85" s="20" t="inlineStr">
        <is>
          <t>I05</t>
        </is>
      </c>
      <c r="B85" s="21" t="inlineStr">
        <is>
          <t>Achats &amp; fournisseurs</t>
        </is>
      </c>
      <c r="C85" s="21" t="inlineStr">
        <is>
          <t>aite_purchase_dashboard</t>
        </is>
      </c>
      <c r="D85" s="21" t="inlineStr">
        <is>
          <t>2 - Majeur</t>
        </is>
      </c>
      <c r="E85" s="21" t="inlineStr">
        <is>
          <t>Factures fournisseurs à diverses échéances</t>
        </is>
      </c>
      <c r="F85" s="23" t="inlineStr">
        <is>
          <t>Contrôler l'échéancier fournisseurs</t>
        </is>
      </c>
      <c r="G85" s="21" t="inlineStr">
        <is>
          <t>1. Ouvrir le tableau de bord Achats.</t>
        </is>
      </c>
      <c r="H85" s="21" t="inlineStr">
        <is>
          <t>Les montants échus et à venir sont classés correctement par semaine ; le total correspond aux dettes réelles.</t>
        </is>
      </c>
      <c r="I85" s="24" t="inlineStr">
        <is>
          <t>À tester</t>
        </is>
      </c>
      <c r="J85" s="24" t="inlineStr"/>
      <c r="K85" s="24" t="inlineStr"/>
      <c r="L85" s="24" t="inlineStr"/>
    </row>
    <row r="86" ht="58" customHeight="1">
      <c r="A86" s="20" t="inlineStr">
        <is>
          <t>I06</t>
        </is>
      </c>
      <c r="B86" s="21" t="inlineStr">
        <is>
          <t>Achats &amp; fournisseurs</t>
        </is>
      </c>
      <c r="C86" s="21" t="inlineStr">
        <is>
          <t>aite_purchase_dashboard</t>
        </is>
      </c>
      <c r="D86" s="21" t="inlineStr">
        <is>
          <t>2 - Majeur</t>
        </is>
      </c>
      <c r="E86" s="21" t="inlineStr">
        <is>
          <t>Historique de prix d'achat sur un article</t>
        </is>
      </c>
      <c r="F86" s="23" t="inlineStr">
        <is>
          <t>Détecter une hausse de prix à la réception</t>
        </is>
      </c>
      <c r="G86" s="21" t="inlineStr">
        <is>
          <t>1. Réceptionner le même article à un prix supérieur.</t>
        </is>
      </c>
      <c r="H86" s="21" t="inlineStr">
        <is>
          <t>La variation est détectée et signalée avec l'ancien et le nouveau prix.</t>
        </is>
      </c>
      <c r="I86" s="24" t="inlineStr">
        <is>
          <t>À tester</t>
        </is>
      </c>
      <c r="J86" s="24" t="inlineStr"/>
      <c r="K86" s="24" t="inlineStr"/>
      <c r="L86" s="24" t="inlineStr"/>
    </row>
    <row r="87" ht="58" customHeight="1">
      <c r="A87" s="20" t="inlineStr">
        <is>
          <t>I07</t>
        </is>
      </c>
      <c r="B87" s="21" t="inlineStr">
        <is>
          <t>Achats &amp; fournisseurs</t>
        </is>
      </c>
      <c r="C87" s="21" t="inlineStr">
        <is>
          <t>aite_purchase_dashboard</t>
        </is>
      </c>
      <c r="D87" s="21" t="inlineStr">
        <is>
          <t>2 - Majeur</t>
        </is>
      </c>
      <c r="E87" s="21" t="inlineStr">
        <is>
          <t>Plusieurs réceptions avec retards</t>
        </is>
      </c>
      <c r="F87" s="23" t="inlineStr">
        <is>
          <t>Calculer la ponctualité fournisseur (OTIF)</t>
        </is>
      </c>
      <c r="G87" s="21" t="inlineStr">
        <is>
          <t>1. Consulter l'indicateur OTIF.</t>
        </is>
      </c>
      <c r="H87" s="21" t="inlineStr">
        <is>
          <t>Le taux reflète les livraisons complètes et à l'heure sur la période.</t>
        </is>
      </c>
      <c r="I87" s="24" t="inlineStr">
        <is>
          <t>À tester</t>
        </is>
      </c>
      <c r="J87" s="24" t="inlineStr"/>
      <c r="K87" s="24" t="inlineStr"/>
      <c r="L87" s="24" t="inlineStr"/>
    </row>
    <row r="88" ht="58" customHeight="1">
      <c r="A88" s="20" t="inlineStr">
        <is>
          <t>I08</t>
        </is>
      </c>
      <c r="B88" s="21" t="inlineStr">
        <is>
          <t>Achats &amp; fournisseurs</t>
        </is>
      </c>
      <c r="C88" s="21" t="inlineStr">
        <is>
          <t>aite_purchase_dashboard</t>
        </is>
      </c>
      <c r="D88" s="21" t="inlineStr">
        <is>
          <t>3 - Mineur</t>
        </is>
      </c>
      <c r="E88" s="21" t="inlineStr">
        <is>
          <t>Consignes de casiers en cours</t>
        </is>
      </c>
      <c r="F88" s="23" t="inlineStr">
        <is>
          <t>Suivre les consignes fournisseurs</t>
        </is>
      </c>
      <c r="G88" s="21" t="inlineStr">
        <is>
          <t>1. Consulter l'encours des consignes.</t>
        </is>
      </c>
      <c r="H88" s="21" t="inlineStr">
        <is>
          <t>Le montant des consignes à rendre est exact et évolue avec les retours.</t>
        </is>
      </c>
      <c r="I88" s="24" t="inlineStr">
        <is>
          <t>À tester</t>
        </is>
      </c>
      <c r="J88" s="24" t="inlineStr"/>
      <c r="K88" s="24" t="inlineStr"/>
      <c r="L88" s="24" t="inlineStr"/>
    </row>
    <row r="89" ht="58" customHeight="1">
      <c r="A89" s="20" t="inlineStr">
        <is>
          <t>J01</t>
        </is>
      </c>
      <c r="B89" s="21" t="inlineStr">
        <is>
          <t>Pilotage — vue Direction</t>
        </is>
      </c>
      <c r="C89" s="21" t="inlineStr">
        <is>
          <t>aite_direction_dashboard</t>
        </is>
      </c>
      <c r="D89" s="22" t="inlineStr">
        <is>
          <t>1 - Critique</t>
        </is>
      </c>
      <c r="E89" s="21" t="inlineStr">
        <is>
          <t>Données de ventes, crédit, stock et achats présentes</t>
        </is>
      </c>
      <c r="F89" s="23" t="inlineStr">
        <is>
          <t>Ouvrir la vue Direction sans erreur</t>
        </is>
      </c>
      <c r="G89" s="21" t="inlineStr">
        <is>
          <t>1. Menu Direction → Vue consolidée.
2. Ouvrir la console du navigateur (F12).</t>
        </is>
      </c>
      <c r="H89" s="21" t="inlineStr">
        <is>
          <t>L'écran s'affiche entièrement, sans erreur JavaScript en console, et tous les onglets sont accessibles.</t>
        </is>
      </c>
      <c r="I89" s="24" t="inlineStr">
        <is>
          <t>À tester</t>
        </is>
      </c>
      <c r="J89" s="24" t="inlineStr"/>
      <c r="K89" s="24" t="inlineStr"/>
      <c r="L89" s="24" t="inlineStr"/>
    </row>
    <row r="90" ht="58" customHeight="1">
      <c r="A90" s="20" t="inlineStr">
        <is>
          <t>J02</t>
        </is>
      </c>
      <c r="B90" s="21" t="inlineStr">
        <is>
          <t>Pilotage — vue Direction</t>
        </is>
      </c>
      <c r="C90" s="21" t="inlineStr">
        <is>
          <t>aite_direction_dashboard</t>
        </is>
      </c>
      <c r="D90" s="22" t="inlineStr">
        <is>
          <t>1 - Critique</t>
        </is>
      </c>
      <c r="E90" s="21" t="inlineStr">
        <is>
          <t>Ventes sur plusieurs périodes</t>
        </is>
      </c>
      <c r="F90" s="23" t="inlineStr">
        <is>
          <t>Filtrer par période</t>
        </is>
      </c>
      <c r="G90" s="21" t="inlineStr">
        <is>
          <t>1. Appliquer successivement Aujourd'hui, Cette semaine, Ce mois et une période personnalisée.</t>
        </is>
      </c>
      <c r="H90" s="21" t="inlineStr">
        <is>
          <t>Les indicateurs se recalculent à chaque changement et correspondent aux ventes de la période choisie.</t>
        </is>
      </c>
      <c r="I90" s="24" t="inlineStr">
        <is>
          <t>À tester</t>
        </is>
      </c>
      <c r="J90" s="24" t="inlineStr"/>
      <c r="K90" s="24" t="inlineStr"/>
      <c r="L90" s="24" t="inlineStr"/>
    </row>
    <row r="91" ht="58" customHeight="1">
      <c r="A91" s="20" t="inlineStr">
        <is>
          <t>J03</t>
        </is>
      </c>
      <c r="B91" s="21" t="inlineStr">
        <is>
          <t>Pilotage — vue Direction</t>
        </is>
      </c>
      <c r="C91" s="21" t="inlineStr">
        <is>
          <t>aite_direction_dashboard</t>
        </is>
      </c>
      <c r="D91" s="22" t="inlineStr">
        <is>
          <t>1 - Critique</t>
        </is>
      </c>
      <c r="E91" s="21" t="inlineStr">
        <is>
          <t>Deux caisses avec des ventes distinctes</t>
        </is>
      </c>
      <c r="F91" s="23" t="inlineStr">
        <is>
          <t>Filtrer par caisse</t>
        </is>
      </c>
      <c r="G91" s="21" t="inlineStr">
        <is>
          <t>1. Sélectionner une seule caisse, puis toutes.</t>
        </is>
      </c>
      <c r="H91" s="21" t="inlineStr">
        <is>
          <t>Les chiffres filtrés correspondent à la caisse sélectionnée ; le total consolidé est retrouvé sans filtre.</t>
        </is>
      </c>
      <c r="I91" s="24" t="inlineStr">
        <is>
          <t>À tester</t>
        </is>
      </c>
      <c r="J91" s="24" t="inlineStr"/>
      <c r="K91" s="24" t="inlineStr"/>
      <c r="L91" s="24" t="inlineStr"/>
    </row>
    <row r="92" ht="58" customHeight="1">
      <c r="A92" s="20" t="inlineStr">
        <is>
          <t>J04</t>
        </is>
      </c>
      <c r="B92" s="21" t="inlineStr">
        <is>
          <t>Pilotage — vue Direction</t>
        </is>
      </c>
      <c r="C92" s="21" t="inlineStr">
        <is>
          <t>aite_direction_dashboard</t>
        </is>
      </c>
      <c r="D92" s="22" t="inlineStr">
        <is>
          <t>1 - Critique</t>
        </is>
      </c>
      <c r="E92" s="21" t="inlineStr">
        <is>
          <t>Ventes réparties sur la journée</t>
        </is>
      </c>
      <c r="F92" s="23" t="inlineStr">
        <is>
          <t>Filtrer par tranche horaire et par jour</t>
        </is>
      </c>
      <c r="G92" s="21" t="inlineStr">
        <is>
          <t>1. Appliquer une tranche (soir) puis un jour de la semaine.</t>
        </is>
      </c>
      <c r="H92" s="21" t="inlineStr">
        <is>
          <t>Seules les ventes de la tranche ou du jour sélectionné sont prises en compte.</t>
        </is>
      </c>
      <c r="I92" s="24" t="inlineStr">
        <is>
          <t>À tester</t>
        </is>
      </c>
      <c r="J92" s="24" t="inlineStr"/>
      <c r="K92" s="24" t="inlineStr"/>
      <c r="L92" s="24" t="inlineStr"/>
    </row>
    <row r="93" ht="58" customHeight="1">
      <c r="A93" s="20" t="inlineStr">
        <is>
          <t>J05</t>
        </is>
      </c>
      <c r="B93" s="21" t="inlineStr">
        <is>
          <t>Pilotage — vue Direction</t>
        </is>
      </c>
      <c r="C93" s="21" t="inlineStr">
        <is>
          <t>aite_direction_dashboard</t>
        </is>
      </c>
      <c r="D93" s="22" t="inlineStr">
        <is>
          <t>1 - Critique</t>
        </is>
      </c>
      <c r="E93" s="21" t="inlineStr">
        <is>
          <t>Ardoises en retard et coulage constaté</t>
        </is>
      </c>
      <c r="F93" s="23" t="inlineStr">
        <is>
          <t>Vérifier le calcul du cash à risque</t>
        </is>
      </c>
      <c r="G93" s="21" t="inlineStr">
        <is>
          <t>1. Relever la valeur affichée.
2. La comparer à la somme des ardoises de plus de 30 jours et du coulage estimé.</t>
        </is>
      </c>
      <c r="H93" s="21" t="inlineStr">
        <is>
          <t>La valeur affichée correspond au calcul attendu et n'est jamais négative.</t>
        </is>
      </c>
      <c r="I93" s="24" t="inlineStr">
        <is>
          <t>À tester</t>
        </is>
      </c>
      <c r="J93" s="24" t="inlineStr"/>
      <c r="K93" s="24" t="inlineStr"/>
      <c r="L93" s="24" t="inlineStr"/>
    </row>
    <row r="94" ht="58" customHeight="1">
      <c r="A94" s="20" t="inlineStr">
        <is>
          <t>J06</t>
        </is>
      </c>
      <c r="B94" s="21" t="inlineStr">
        <is>
          <t>Pilotage — vue Direction</t>
        </is>
      </c>
      <c r="C94" s="21" t="inlineStr">
        <is>
          <t>aite_direction_dashboard</t>
        </is>
      </c>
      <c r="D94" s="22" t="inlineStr">
        <is>
          <t>1 - Critique</t>
        </is>
      </c>
      <c r="E94" s="21" t="inlineStr">
        <is>
          <t>Encours clients et dettes fournisseurs connus</t>
        </is>
      </c>
      <c r="F94" s="23" t="inlineStr">
        <is>
          <t>Vérifier le solde crédits − dettes</t>
        </is>
      </c>
      <c r="G94" s="21" t="inlineStr">
        <is>
          <t>1. Relever l'indicateur et le comparer aux tableaux de bord Crédit et Achats.</t>
        </is>
      </c>
      <c r="H94" s="21" t="inlineStr">
        <is>
          <t>Le solde correspond exactement à la différence entre les deux encours.</t>
        </is>
      </c>
      <c r="I94" s="24" t="inlineStr">
        <is>
          <t>À tester</t>
        </is>
      </c>
      <c r="J94" s="24" t="inlineStr"/>
      <c r="K94" s="24" t="inlineStr"/>
      <c r="L94" s="24" t="inlineStr"/>
    </row>
    <row r="95" ht="58" customHeight="1">
      <c r="A95" s="20" t="inlineStr">
        <is>
          <t>J07</t>
        </is>
      </c>
      <c r="B95" s="21" t="inlineStr">
        <is>
          <t>Pilotage — vue Direction</t>
        </is>
      </c>
      <c r="C95" s="21" t="inlineStr">
        <is>
          <t>aite_direction_dashboard</t>
        </is>
      </c>
      <c r="D95" s="21" t="inlineStr">
        <is>
          <t>2 - Majeur</t>
        </is>
      </c>
      <c r="E95" s="21" t="inlineStr">
        <is>
          <t>Données sur plusieurs semaines</t>
        </is>
      </c>
      <c r="F95" s="23" t="inlineStr">
        <is>
          <t>Contrôler la cohérence des tendances</t>
        </is>
      </c>
      <c r="G95" s="21" t="inlineStr">
        <is>
          <t>1. Comparer la courbe de tendance aux chiffres détaillés.</t>
        </is>
      </c>
      <c r="H95" s="21" t="inlineStr">
        <is>
          <t>La tendance et le pourcentage d'évolution reflètent les données réelles de la période.</t>
        </is>
      </c>
      <c r="I95" s="24" t="inlineStr">
        <is>
          <t>À tester</t>
        </is>
      </c>
      <c r="J95" s="24" t="inlineStr"/>
      <c r="K95" s="24" t="inlineStr"/>
      <c r="L95" s="24" t="inlineStr"/>
    </row>
    <row r="96" ht="58" customHeight="1">
      <c r="A96" s="20" t="inlineStr">
        <is>
          <t>J08</t>
        </is>
      </c>
      <c r="B96" s="21" t="inlineStr">
        <is>
          <t>Pilotage — vue Direction</t>
        </is>
      </c>
      <c r="C96" s="21" t="inlineStr">
        <is>
          <t>aite_direction_dashboard</t>
        </is>
      </c>
      <c r="D96" s="21" t="inlineStr">
        <is>
          <t>2 - Majeur</t>
        </is>
      </c>
      <c r="E96" s="21" t="inlineStr">
        <is>
          <t>Situations à traiter présentes (retards, ruptures)</t>
        </is>
      </c>
      <c r="F96" s="23" t="inlineStr">
        <is>
          <t>Vérifier la liste d'actions « À traiter »</t>
        </is>
      </c>
      <c r="G96" s="21" t="inlineStr">
        <is>
          <t>1. Ouvrir l'onglet À traiter.</t>
        </is>
      </c>
      <c r="H96" s="21" t="inlineStr">
        <is>
          <t>Les actions proposées (relancer, payer, commander) correspondent à des situations réelles et sont priorisées.</t>
        </is>
      </c>
      <c r="I96" s="24" t="inlineStr">
        <is>
          <t>À tester</t>
        </is>
      </c>
      <c r="J96" s="24" t="inlineStr"/>
      <c r="K96" s="24" t="inlineStr"/>
      <c r="L96" s="24" t="inlineStr"/>
    </row>
    <row r="97" ht="58" customHeight="1">
      <c r="A97" s="20" t="inlineStr">
        <is>
          <t>J09</t>
        </is>
      </c>
      <c r="B97" s="21" t="inlineStr">
        <is>
          <t>Pilotage — vue Direction</t>
        </is>
      </c>
      <c r="C97" s="21" t="inlineStr">
        <is>
          <t>aite_direction_dashboard</t>
        </is>
      </c>
      <c r="D97" s="21" t="inlineStr">
        <is>
          <t>2 - Majeur</t>
        </is>
      </c>
      <c r="E97" s="21" t="inlineStr">
        <is>
          <t>Vue Direction ouverte</t>
        </is>
      </c>
      <c r="F97" s="23" t="inlineStr">
        <is>
          <t>Naviguer du chiffre vers le détail</t>
        </is>
      </c>
      <c r="G97" s="21" t="inlineStr">
        <is>
          <t>1. Cliquer sur un indicateur pour ouvrir le tableau de bord spécialisé.</t>
        </is>
      </c>
      <c r="H97" s="21" t="inlineStr">
        <is>
          <t>L'écran détaillé s'ouvre sur le bon périmètre, avec des chiffres cohérents avec le cockpit.</t>
        </is>
      </c>
      <c r="I97" s="24" t="inlineStr">
        <is>
          <t>À tester</t>
        </is>
      </c>
      <c r="J97" s="24" t="inlineStr"/>
      <c r="K97" s="24" t="inlineStr"/>
      <c r="L97" s="24" t="inlineStr"/>
    </row>
    <row r="98" ht="58" customHeight="1">
      <c r="A98" s="20" t="inlineStr">
        <is>
          <t>J10</t>
        </is>
      </c>
      <c r="B98" s="21" t="inlineStr">
        <is>
          <t>Pilotage — vue Direction</t>
        </is>
      </c>
      <c r="C98" s="21" t="inlineStr">
        <is>
          <t>aite_direction_dashboard</t>
        </is>
      </c>
      <c r="D98" s="21" t="inlineStr">
        <is>
          <t>2 - Majeur</t>
        </is>
      </c>
      <c r="E98" s="21" t="inlineStr">
        <is>
          <t>Écran affiché sur un poste de travail</t>
        </is>
      </c>
      <c r="F98" s="23" t="inlineStr">
        <is>
          <t>Vérifier le défilement et l'affichage</t>
        </is>
      </c>
      <c r="G98" s="21" t="inlineStr">
        <is>
          <t>1. Faire défiler la page jusqu'en bas sur chaque onglet.</t>
        </is>
      </c>
      <c r="H98" s="21" t="inlineStr">
        <is>
          <t>Le contenu défile correctement, les filtres restent visibles, aucun bloc n'est coupé.</t>
        </is>
      </c>
      <c r="I98" s="24" t="inlineStr">
        <is>
          <t>À tester</t>
        </is>
      </c>
      <c r="J98" s="24" t="inlineStr"/>
      <c r="K98" s="24" t="inlineStr"/>
      <c r="L98" s="24" t="inlineStr"/>
    </row>
    <row r="99" ht="58" customHeight="1">
      <c r="A99" s="20" t="inlineStr">
        <is>
          <t>K01</t>
        </is>
      </c>
      <c r="B99" s="21" t="inlineStr">
        <is>
          <t>Tableau de bord exécutif</t>
        </is>
      </c>
      <c r="C99" s="21" t="inlineStr">
        <is>
          <t>aite_exec_dashboard</t>
        </is>
      </c>
      <c r="D99" s="21" t="inlineStr">
        <is>
          <t>2 - Majeur</t>
        </is>
      </c>
      <c r="E99" s="21" t="inlineStr">
        <is>
          <t>Activité hôtelière enregistrée</t>
        </is>
      </c>
      <c r="F99" s="23" t="inlineStr">
        <is>
          <t>Ouvrir le tableau de bord exécutif</t>
        </is>
      </c>
      <c r="G99" s="21" t="inlineStr">
        <is>
          <t>1. Ouvrir le tableau de bord.
2. Contrôler la console (F12).</t>
        </is>
      </c>
      <c r="H99" s="21" t="inlineStr">
        <is>
          <t>L'écran s'affiche sans erreur et les indicateurs sont renseignés.</t>
        </is>
      </c>
      <c r="I99" s="24" t="inlineStr">
        <is>
          <t>À tester</t>
        </is>
      </c>
      <c r="J99" s="24" t="inlineStr"/>
      <c r="K99" s="24" t="inlineStr"/>
      <c r="L99" s="24" t="inlineStr"/>
    </row>
    <row r="100" ht="58" customHeight="1">
      <c r="A100" s="20" t="inlineStr">
        <is>
          <t>K02</t>
        </is>
      </c>
      <c r="B100" s="21" t="inlineStr">
        <is>
          <t>Tableau de bord exécutif</t>
        </is>
      </c>
      <c r="C100" s="21" t="inlineStr">
        <is>
          <t>aite_exec_dashboard</t>
        </is>
      </c>
      <c r="D100" s="21" t="inlineStr">
        <is>
          <t>2 - Majeur</t>
        </is>
      </c>
      <c r="E100" s="21" t="inlineStr">
        <is>
          <t>Séjours et réservations sur la période</t>
        </is>
      </c>
      <c r="F100" s="23" t="inlineStr">
        <is>
          <t>Contrôler les indicateurs d'occupation</t>
        </is>
      </c>
      <c r="G100" s="21" t="inlineStr">
        <is>
          <t>1. Comparer le taux d'occupation affiché au planning réel.</t>
        </is>
      </c>
      <c r="H100" s="21" t="inlineStr">
        <is>
          <t>Le taux et le nombre de nuitées correspondent aux séjours enregistrés.</t>
        </is>
      </c>
      <c r="I100" s="24" t="inlineStr">
        <is>
          <t>À tester</t>
        </is>
      </c>
      <c r="J100" s="24" t="inlineStr"/>
      <c r="K100" s="24" t="inlineStr"/>
      <c r="L100" s="24" t="inlineStr"/>
    </row>
    <row r="101" ht="58" customHeight="1">
      <c r="A101" s="20" t="inlineStr">
        <is>
          <t>K03</t>
        </is>
      </c>
      <c r="B101" s="21" t="inlineStr">
        <is>
          <t>Tableau de bord exécutif</t>
        </is>
      </c>
      <c r="C101" s="21" t="inlineStr">
        <is>
          <t>aite_exec_dashboard</t>
        </is>
      </c>
      <c r="D101" s="21" t="inlineStr">
        <is>
          <t>3 - Mineur</t>
        </is>
      </c>
      <c r="E101" s="21" t="inlineStr">
        <is>
          <t>Plusieurs périodes disponibles</t>
        </is>
      </c>
      <c r="F101" s="23" t="inlineStr">
        <is>
          <t>Filtrer la période du tableau de bord</t>
        </is>
      </c>
      <c r="G101" s="21" t="inlineStr">
        <is>
          <t>1. Changer la période analysée.</t>
        </is>
      </c>
      <c r="H101" s="21" t="inlineStr">
        <is>
          <t>Les indicateurs se recalculent de façon cohérente.</t>
        </is>
      </c>
      <c r="I101" s="24" t="inlineStr">
        <is>
          <t>À tester</t>
        </is>
      </c>
      <c r="J101" s="24" t="inlineStr"/>
      <c r="K101" s="24" t="inlineStr"/>
      <c r="L101" s="24" t="inlineStr"/>
    </row>
    <row r="102" ht="58" customHeight="1">
      <c r="A102" s="20" t="inlineStr">
        <is>
          <t>K04</t>
        </is>
      </c>
      <c r="B102" s="21" t="inlineStr">
        <is>
          <t>Tableau de bord exécutif</t>
        </is>
      </c>
      <c r="C102" s="21" t="inlineStr">
        <is>
          <t>aite_exec_dashboard</t>
        </is>
      </c>
      <c r="D102" s="21" t="inlineStr">
        <is>
          <t>3 - Mineur</t>
        </is>
      </c>
      <c r="E102" s="21" t="inlineStr">
        <is>
          <t>Données hôtel et bar présentes</t>
        </is>
      </c>
      <c r="F102" s="23" t="inlineStr">
        <is>
          <t>Vérifier la cohérence avec la vue Direction</t>
        </is>
      </c>
      <c r="G102" s="21" t="inlineStr">
        <is>
          <t>1. Comparer les chiffres communs aux deux écrans.</t>
        </is>
      </c>
      <c r="H102" s="21" t="inlineStr">
        <is>
          <t>Les valeurs communes sont identiques d'un écran à l'autre.</t>
        </is>
      </c>
      <c r="I102" s="24" t="inlineStr">
        <is>
          <t>À tester</t>
        </is>
      </c>
      <c r="J102" s="24" t="inlineStr"/>
      <c r="K102" s="24" t="inlineStr"/>
      <c r="L102" s="24" t="inlineStr"/>
    </row>
    <row r="103" ht="58" customHeight="1">
      <c r="A103" s="20" t="inlineStr">
        <is>
          <t>L01</t>
        </is>
      </c>
      <c r="B103" s="21" t="inlineStr">
        <is>
          <t>Jeu de démonstration</t>
        </is>
      </c>
      <c r="C103" s="21" t="inlineStr">
        <is>
          <t>aite_demo_data</t>
        </is>
      </c>
      <c r="D103" s="21" t="inlineStr">
        <is>
          <t>2 - Majeur</t>
        </is>
      </c>
      <c r="E103" s="21" t="inlineStr">
        <is>
          <t>Base vierge dédiée à la démonstration</t>
        </is>
      </c>
      <c r="F103" s="23" t="inlineStr">
        <is>
          <t>Installer le jeu de démonstration</t>
        </is>
      </c>
      <c r="G103" s="21" t="inlineStr">
        <is>
          <t>1. Installer aite_demo_data sur une base de test.</t>
        </is>
      </c>
      <c r="H103" s="21" t="inlineStr">
        <is>
          <t>L'installation aboutit sans erreur et charge un établissement complet (chambres, produits, clients, historique).</t>
        </is>
      </c>
      <c r="I103" s="24" t="inlineStr">
        <is>
          <t>À tester</t>
        </is>
      </c>
      <c r="J103" s="24" t="inlineStr"/>
      <c r="K103" s="24" t="inlineStr"/>
      <c r="L103" s="24" t="inlineStr"/>
    </row>
    <row r="104" ht="58" customHeight="1">
      <c r="A104" s="20" t="inlineStr">
        <is>
          <t>L02</t>
        </is>
      </c>
      <c r="B104" s="21" t="inlineStr">
        <is>
          <t>Jeu de démonstration</t>
        </is>
      </c>
      <c r="C104" s="21" t="inlineStr">
        <is>
          <t>aite_demo_data</t>
        </is>
      </c>
      <c r="D104" s="21" t="inlineStr">
        <is>
          <t>2 - Majeur</t>
        </is>
      </c>
      <c r="E104" s="21" t="inlineStr">
        <is>
          <t>Jeu de démonstration installé</t>
        </is>
      </c>
      <c r="F104" s="23" t="inlineStr">
        <is>
          <t>Vérifier que tous les écrans sont alimentés</t>
        </is>
      </c>
      <c r="G104" s="21" t="inlineStr">
        <is>
          <t>1. Parcourir planning, caisse, crédit, fidélité, stock, achats et Direction.</t>
        </is>
      </c>
      <c r="H104" s="21" t="inlineStr">
        <is>
          <t>Chaque écran présente des données réalistes, en FCFA, sans zone vide.</t>
        </is>
      </c>
      <c r="I104" s="24" t="inlineStr">
        <is>
          <t>À tester</t>
        </is>
      </c>
      <c r="J104" s="24" t="inlineStr"/>
      <c r="K104" s="24" t="inlineStr"/>
      <c r="L104" s="24" t="inlineStr"/>
    </row>
    <row r="105" ht="58" customHeight="1">
      <c r="A105" s="20" t="inlineStr">
        <is>
          <t>L03</t>
        </is>
      </c>
      <c r="B105" s="21" t="inlineStr">
        <is>
          <t>Jeu de démonstration</t>
        </is>
      </c>
      <c r="C105" s="21" t="inlineStr">
        <is>
          <t>aite_demo_data</t>
        </is>
      </c>
      <c r="D105" s="21" t="inlineStr">
        <is>
          <t>3 - Mineur</t>
        </is>
      </c>
      <c r="E105" s="21" t="inlineStr">
        <is>
          <t>Base de production</t>
        </is>
      </c>
      <c r="F105" s="23" t="inlineStr">
        <is>
          <t>Vérifier l'absence de données de démonstration en production</t>
        </is>
      </c>
      <c r="G105" s="21" t="inlineStr">
        <is>
          <t>1. Contrôler que le module n'est pas installé sur la base de production.</t>
        </is>
      </c>
      <c r="H105" s="21" t="inlineStr">
        <is>
          <t>Aucune donnée fictive n'apparaît dans l'environnement réel.</t>
        </is>
      </c>
      <c r="I105" s="24" t="inlineStr">
        <is>
          <t>À tester</t>
        </is>
      </c>
      <c r="J105" s="24" t="inlineStr"/>
      <c r="K105" s="24" t="inlineStr"/>
      <c r="L105" s="24" t="inlineStr"/>
    </row>
    <row r="106" ht="58" customHeight="1">
      <c r="A106" s="20" t="inlineStr">
        <is>
          <t>M01</t>
        </is>
      </c>
      <c r="B106" s="21" t="inlineStr">
        <is>
          <t>Transverse — sécurité, données, exploitation</t>
        </is>
      </c>
      <c r="C106" s="21" t="inlineStr">
        <is>
          <t>tous modules</t>
        </is>
      </c>
      <c r="D106" s="22" t="inlineStr">
        <is>
          <t>1 - Critique</t>
        </is>
      </c>
      <c r="E106" s="21" t="inlineStr">
        <is>
          <t>Les 12 modules déposés sur le serveur</t>
        </is>
      </c>
      <c r="F106" s="23" t="inlineStr">
        <is>
          <t>Installer la suite complète dans l'ordre prévu</t>
        </is>
      </c>
      <c r="G106" s="21" t="inlineStr">
        <is>
          <t>1. Suivre la procédure d'installation du fichier INSTALLATION.md.
2. Installer les modules dans l'ordre indiqué.</t>
        </is>
      </c>
      <c r="H106" s="21" t="inlineStr">
        <is>
          <t>Tous les modules s'installent sans erreur ; aucun message d'échec dans le log Odoo.</t>
        </is>
      </c>
      <c r="I106" s="24" t="inlineStr">
        <is>
          <t>À tester</t>
        </is>
      </c>
      <c r="J106" s="24" t="inlineStr"/>
      <c r="K106" s="24" t="inlineStr"/>
      <c r="L106" s="24" t="inlineStr"/>
    </row>
    <row r="107" ht="58" customHeight="1">
      <c r="A107" s="20" t="inlineStr">
        <is>
          <t>M02</t>
        </is>
      </c>
      <c r="B107" s="21" t="inlineStr">
        <is>
          <t>Transverse — sécurité, données, exploitation</t>
        </is>
      </c>
      <c r="C107" s="21" t="inlineStr">
        <is>
          <t>tous modules</t>
        </is>
      </c>
      <c r="D107" s="22" t="inlineStr">
        <is>
          <t>1 - Critique</t>
        </is>
      </c>
      <c r="E107" s="21" t="inlineStr">
        <is>
          <t>Suite installée</t>
        </is>
      </c>
      <c r="F107" s="23" t="inlineStr">
        <is>
          <t>Ouvrir l'écran Paramètres en entier</t>
        </is>
      </c>
      <c r="G107" s="21" t="inlineStr">
        <is>
          <t>1. Paramètres → faire défiler jusqu'en bas.</t>
        </is>
      </c>
      <c r="H107" s="21" t="inlineStr">
        <is>
          <t>L'écran s'affiche complètement, toutes les sections AITE sont présentes, sans erreur « field is undefined ».</t>
        </is>
      </c>
      <c r="I107" s="24" t="inlineStr">
        <is>
          <t>À tester</t>
        </is>
      </c>
      <c r="J107" s="24" t="inlineStr"/>
      <c r="K107" s="24" t="inlineStr"/>
      <c r="L107" s="24" t="inlineStr"/>
    </row>
    <row r="108" ht="58" customHeight="1">
      <c r="A108" s="20" t="inlineStr">
        <is>
          <t>M03</t>
        </is>
      </c>
      <c r="B108" s="21" t="inlineStr">
        <is>
          <t>Transverse — sécurité, données, exploitation</t>
        </is>
      </c>
      <c r="C108" s="21" t="inlineStr">
        <is>
          <t>tous modules</t>
        </is>
      </c>
      <c r="D108" s="22" t="inlineStr">
        <is>
          <t>1 - Critique</t>
        </is>
      </c>
      <c r="E108" s="21" t="inlineStr">
        <is>
          <t>Profils utilisateurs créés (serveur, gérant)</t>
        </is>
      </c>
      <c r="F108" s="23" t="inlineStr">
        <is>
          <t>Vérifier le cloisonnement des droits</t>
        </is>
      </c>
      <c r="G108" s="21" t="inlineStr">
        <is>
          <t>1. Se connecter en profil serveur, puis en profil gérant.</t>
        </is>
      </c>
      <c r="H108" s="21" t="inlineStr">
        <is>
          <t>Le serveur n'accède ni aux marges ni aux tableaux de bord de direction ; le gérant accède à l'ensemble.</t>
        </is>
      </c>
      <c r="I108" s="24" t="inlineStr">
        <is>
          <t>À tester</t>
        </is>
      </c>
      <c r="J108" s="24" t="inlineStr"/>
      <c r="K108" s="24" t="inlineStr"/>
      <c r="L108" s="24" t="inlineStr"/>
    </row>
    <row r="109" ht="58" customHeight="1">
      <c r="A109" s="20" t="inlineStr">
        <is>
          <t>M04</t>
        </is>
      </c>
      <c r="B109" s="21" t="inlineStr">
        <is>
          <t>Transverse — sécurité, données, exploitation</t>
        </is>
      </c>
      <c r="C109" s="21" t="inlineStr">
        <is>
          <t>tous modules</t>
        </is>
      </c>
      <c r="D109" s="22" t="inlineStr">
        <is>
          <t>1 - Critique</t>
        </is>
      </c>
      <c r="E109" s="21" t="inlineStr">
        <is>
          <t>Société configurée en FCFA</t>
        </is>
      </c>
      <c r="F109" s="23" t="inlineStr">
        <is>
          <t>Contrôler la devise et les arrondis</t>
        </is>
      </c>
      <c r="G109" s="21" t="inlineStr">
        <is>
          <t>1. Vérifier les montants sur un ticket, une facture et un tableau de bord.</t>
        </is>
      </c>
      <c r="H109" s="21" t="inlineStr">
        <is>
          <t>Tous les montants sont en FCFA, sans décimale parasite ni erreur d'arrondi.</t>
        </is>
      </c>
      <c r="I109" s="24" t="inlineStr">
        <is>
          <t>À tester</t>
        </is>
      </c>
      <c r="J109" s="24" t="inlineStr"/>
      <c r="K109" s="24" t="inlineStr"/>
      <c r="L109" s="24" t="inlineStr"/>
    </row>
    <row r="110" ht="58" customHeight="1">
      <c r="A110" s="20" t="inlineStr">
        <is>
          <t>M05</t>
        </is>
      </c>
      <c r="B110" s="21" t="inlineStr">
        <is>
          <t>Transverse — sécurité, données, exploitation</t>
        </is>
      </c>
      <c r="C110" s="21" t="inlineStr">
        <is>
          <t>tous modules</t>
        </is>
      </c>
      <c r="D110" s="21" t="inlineStr">
        <is>
          <t>2 - Majeur</t>
        </is>
      </c>
      <c r="E110" s="21" t="inlineStr">
        <is>
          <t>Suite installée et utilisée</t>
        </is>
      </c>
      <c r="F110" s="23" t="inlineStr">
        <is>
          <t>Redémarrer le serveur et recharger l'application</t>
        </is>
      </c>
      <c r="G110" s="21" t="inlineStr">
        <is>
          <t>1. Redémarrer le service Odoo.
2. Ctrl+Shift+R dans le navigateur.</t>
        </is>
      </c>
      <c r="H110" s="21" t="inlineStr">
        <is>
          <t>Aucune régression après redémarrage ; les écrans se rechargent normalement.</t>
        </is>
      </c>
      <c r="I110" s="24" t="inlineStr">
        <is>
          <t>À tester</t>
        </is>
      </c>
      <c r="J110" s="24" t="inlineStr"/>
      <c r="K110" s="24" t="inlineStr"/>
      <c r="L110" s="24" t="inlineStr"/>
    </row>
    <row r="111" ht="58" customHeight="1">
      <c r="A111" s="20" t="inlineStr">
        <is>
          <t>M06</t>
        </is>
      </c>
      <c r="B111" s="21" t="inlineStr">
        <is>
          <t>Transverse — sécurité, données, exploitation</t>
        </is>
      </c>
      <c r="C111" s="21" t="inlineStr">
        <is>
          <t>tous modules</t>
        </is>
      </c>
      <c r="D111" s="21" t="inlineStr">
        <is>
          <t>2 - Majeur</t>
        </is>
      </c>
      <c r="E111" s="21" t="inlineStr">
        <is>
          <t>Données réelles d'un mois d'activité</t>
        </is>
      </c>
      <c r="F111" s="23" t="inlineStr">
        <is>
          <t>Vérifier les temps de réponse</t>
        </is>
      </c>
      <c r="G111" s="21" t="inlineStr">
        <is>
          <t>1. Ouvrir les principaux tableaux de bord sur un mois complet.</t>
        </is>
      </c>
      <c r="H111" s="21" t="inlineStr">
        <is>
          <t>Chaque écran s'affiche en moins de 5 secondes dans des conditions normales d'exploitation.</t>
        </is>
      </c>
      <c r="I111" s="24" t="inlineStr">
        <is>
          <t>À tester</t>
        </is>
      </c>
      <c r="J111" s="24" t="inlineStr"/>
      <c r="K111" s="24" t="inlineStr"/>
      <c r="L111" s="24" t="inlineStr"/>
    </row>
    <row r="112" ht="58" customHeight="1">
      <c r="A112" s="20" t="inlineStr">
        <is>
          <t>M07</t>
        </is>
      </c>
      <c r="B112" s="21" t="inlineStr">
        <is>
          <t>Transverse — sécurité, données, exploitation</t>
        </is>
      </c>
      <c r="C112" s="21" t="inlineStr">
        <is>
          <t>tous modules</t>
        </is>
      </c>
      <c r="D112" s="21" t="inlineStr">
        <is>
          <t>2 - Majeur</t>
        </is>
      </c>
      <c r="E112" s="21" t="inlineStr">
        <is>
          <t>Base de production active</t>
        </is>
      </c>
      <c r="F112" s="23" t="inlineStr">
        <is>
          <t>Vérifier la sauvegarde et la restauration</t>
        </is>
      </c>
      <c r="G112" s="21" t="inlineStr">
        <is>
          <t>1. Réaliser une sauvegarde.
2. La restaurer sur une base de test.</t>
        </is>
      </c>
      <c r="H112" s="21" t="inlineStr">
        <is>
          <t>La restauration aboutit et les données sont intègres et complètes.</t>
        </is>
      </c>
      <c r="I112" s="24" t="inlineStr">
        <is>
          <t>À tester</t>
        </is>
      </c>
      <c r="J112" s="24" t="inlineStr"/>
      <c r="K112" s="24" t="inlineStr"/>
      <c r="L112" s="24" t="inlineStr"/>
    </row>
    <row r="113" ht="58" customHeight="1">
      <c r="A113" s="20" t="inlineStr">
        <is>
          <t>M08</t>
        </is>
      </c>
      <c r="B113" s="21" t="inlineStr">
        <is>
          <t>Transverse — sécurité, données, exploitation</t>
        </is>
      </c>
      <c r="C113" s="21" t="inlineStr">
        <is>
          <t>tous modules</t>
        </is>
      </c>
      <c r="D113" s="21" t="inlineStr">
        <is>
          <t>2 - Majeur</t>
        </is>
      </c>
      <c r="E113" s="21" t="inlineStr">
        <is>
          <t>Tableaux de bord alimentés</t>
        </is>
      </c>
      <c r="F113" s="23" t="inlineStr">
        <is>
          <t>Exporter des données en Excel et PDF</t>
        </is>
      </c>
      <c r="G113" s="21" t="inlineStr">
        <is>
          <t>1. Exporter une liste et un tableau de bord.</t>
        </is>
      </c>
      <c r="H113" s="21" t="inlineStr">
        <is>
          <t>Les exports s'ouvrent correctement et contiennent les données affichées à l'écran.</t>
        </is>
      </c>
      <c r="I113" s="24" t="inlineStr">
        <is>
          <t>À tester</t>
        </is>
      </c>
      <c r="J113" s="24" t="inlineStr"/>
      <c r="K113" s="24" t="inlineStr"/>
      <c r="L113" s="24" t="inlineStr"/>
    </row>
    <row r="114" ht="58" customHeight="1">
      <c r="A114" s="20" t="inlineStr">
        <is>
          <t>M09</t>
        </is>
      </c>
      <c r="B114" s="21" t="inlineStr">
        <is>
          <t>Transverse — sécurité, données, exploitation</t>
        </is>
      </c>
      <c r="C114" s="21" t="inlineStr">
        <is>
          <t>tous modules</t>
        </is>
      </c>
      <c r="D114" s="21" t="inlineStr">
        <is>
          <t>3 - Mineur</t>
        </is>
      </c>
      <c r="E114" s="21" t="inlineStr">
        <is>
          <t>Utilisateur sur poste et sur tablette</t>
        </is>
      </c>
      <c r="F114" s="23" t="inlineStr">
        <is>
          <t>Vérifier l'usage sur tablette</t>
        </is>
      </c>
      <c r="G114" s="21" t="inlineStr">
        <is>
          <t>1. Ouvrir la caisse et les principaux écrans sur tablette.</t>
        </is>
      </c>
      <c r="H114" s="21" t="inlineStr">
        <is>
          <t>Les écrans sont utilisables au doigt, sans élément inaccessible.</t>
        </is>
      </c>
      <c r="I114" s="24" t="inlineStr">
        <is>
          <t>À tester</t>
        </is>
      </c>
      <c r="J114" s="24" t="inlineStr"/>
      <c r="K114" s="24" t="inlineStr"/>
      <c r="L114" s="24" t="inlineStr"/>
    </row>
    <row r="115" ht="58" customHeight="1">
      <c r="A115" s="20" t="inlineStr">
        <is>
          <t>M10</t>
        </is>
      </c>
      <c r="B115" s="21" t="inlineStr">
        <is>
          <t>Transverse — sécurité, données, exploitation</t>
        </is>
      </c>
      <c r="C115" s="21" t="inlineStr">
        <is>
          <t>tous modules</t>
        </is>
      </c>
      <c r="D115" s="22" t="inlineStr">
        <is>
          <t>1 - Critique</t>
        </is>
      </c>
      <c r="E115" s="21" t="inlineStr">
        <is>
          <t>Un module mis à jour</t>
        </is>
      </c>
      <c r="F115" s="23" t="inlineStr">
        <is>
          <t>Mettre à niveau un module sans perte de données</t>
        </is>
      </c>
      <c r="G115" s="21" t="inlineStr">
        <is>
          <t>1. Remplacer le dossier d'un module.
2. Apps → Mettre à niveau.
3. Contrôler les données existantes.</t>
        </is>
      </c>
      <c r="H115" s="21" t="inlineStr">
        <is>
          <t>La mise à niveau aboutit et aucune donnée antérieure n'est perdue ni altérée.</t>
        </is>
      </c>
      <c r="I115" s="24" t="inlineStr">
        <is>
          <t>À tester</t>
        </is>
      </c>
      <c r="J115" s="24" t="inlineStr"/>
      <c r="K115" s="24" t="inlineStr"/>
      <c r="L115" s="24" t="inlineStr"/>
    </row>
    <row r="116" ht="58" customHeight="1">
      <c r="A116" s="20" t="inlineStr">
        <is>
          <t>N01</t>
        </is>
      </c>
      <c r="B116" s="21" t="inlineStr">
        <is>
          <t>Taxe de séjour</t>
        </is>
      </c>
      <c r="C116" s="21" t="inlineStr">
        <is>
          <t>aite_city_tax</t>
        </is>
      </c>
      <c r="D116" s="22" t="inlineStr">
        <is>
          <t>1 - Critique</t>
        </is>
      </c>
      <c r="E116" s="21" t="inlineStr">
        <is>
          <t>Hôtel avec pays et catégorie (étoiles) renseignés</t>
        </is>
      </c>
      <c r="F116" s="23" t="inlineStr">
        <is>
          <t>Vérifier le barème appliqué sur la fiche hôtel</t>
        </is>
      </c>
      <c r="G116" s="21" t="inlineStr">
        <is>
          <t>1. Ouvrir la fiche de l'hôtel → onglet Taxe de séjour.</t>
        </is>
      </c>
      <c r="H116" s="21" t="inlineStr">
        <is>
          <t>Le barème du pays et de la catégorie s'affiche (ex. Cameroun 3 ★ : 3 000 F) avec une phrase expliquant ce qui sera facturé.</t>
        </is>
      </c>
      <c r="I116" s="24" t="inlineStr">
        <is>
          <t>À tester</t>
        </is>
      </c>
      <c r="J116" s="24" t="inlineStr"/>
      <c r="K116" s="24" t="inlineStr"/>
      <c r="L116" s="24" t="inlineStr"/>
    </row>
    <row r="117" ht="58" customHeight="1">
      <c r="A117" s="20" t="inlineStr">
        <is>
          <t>N02</t>
        </is>
      </c>
      <c r="B117" s="21" t="inlineStr">
        <is>
          <t>Taxe de séjour</t>
        </is>
      </c>
      <c r="C117" s="21" t="inlineStr">
        <is>
          <t>aite_city_tax</t>
        </is>
      </c>
      <c r="D117" s="22" t="inlineStr">
        <is>
          <t>1 - Critique</t>
        </is>
      </c>
      <c r="E117" s="21" t="inlineStr">
        <is>
          <t>Réservation 2 nuits, 2 adultes, hôtel 3 ★ Cameroun</t>
        </is>
      </c>
      <c r="F117" s="23" t="inlineStr">
        <is>
          <t>Taxe ajoutée automatiquement à la confirmation</t>
        </is>
      </c>
      <c r="G117" s="21" t="inlineStr">
        <is>
          <t>1. Confirmer la réservation.
2. Ouvrir le folio.</t>
        </is>
      </c>
      <c r="H117" s="21" t="inlineStr">
        <is>
          <t>Une ligne « Taxe de séjour » apparaît sans saisie : 4 nuitées × 3 000 F = 12 000 F, sans TVA ; le total « Services » ne l'inclut pas.</t>
        </is>
      </c>
      <c r="I117" s="24" t="inlineStr">
        <is>
          <t>À tester</t>
        </is>
      </c>
      <c r="J117" s="24" t="inlineStr"/>
      <c r="K117" s="24" t="inlineStr"/>
      <c r="L117" s="24" t="inlineStr"/>
    </row>
    <row r="118" ht="58" customHeight="1">
      <c r="A118" s="20" t="inlineStr">
        <is>
          <t>N03</t>
        </is>
      </c>
      <c r="B118" s="21" t="inlineStr">
        <is>
          <t>Taxe de séjour</t>
        </is>
      </c>
      <c r="C118" s="21" t="inlineStr">
        <is>
          <t>aite_city_tax</t>
        </is>
      </c>
      <c r="D118" s="22" t="inlineStr">
        <is>
          <t>1 - Critique</t>
        </is>
      </c>
      <c r="E118" s="21" t="inlineStr">
        <is>
          <t>Folio ouvert avec taxe</t>
        </is>
      </c>
      <c r="F118" s="23" t="inlineStr">
        <is>
          <t>Recalcul si le séjour change</t>
        </is>
      </c>
      <c r="G118" s="21" t="inlineStr">
        <is>
          <t>1. Prolonger le séjour d'une nuit.
2. Ajouter un adulte.
3. Changer la catégorie de l'hôtel (4 ★) puis revenir.</t>
        </is>
      </c>
      <c r="H118" s="21" t="inlineStr">
        <is>
          <t>La ligne est recalculée à chaque changement ; une seule ligne de taxe subsiste ; le montant suit le barème.</t>
        </is>
      </c>
      <c r="I118" s="24" t="inlineStr">
        <is>
          <t>À tester</t>
        </is>
      </c>
      <c r="J118" s="24" t="inlineStr"/>
      <c r="K118" s="24" t="inlineStr"/>
      <c r="L118" s="24" t="inlineStr"/>
    </row>
    <row r="119" ht="58" customHeight="1">
      <c r="A119" s="20" t="inlineStr">
        <is>
          <t>N04</t>
        </is>
      </c>
      <c r="B119" s="21" t="inlineStr">
        <is>
          <t>Taxe de séjour</t>
        </is>
      </c>
      <c r="C119" s="21" t="inlineStr">
        <is>
          <t>aite_city_tax</t>
        </is>
      </c>
      <c r="D119" s="22" t="inlineStr">
        <is>
          <t>1 - Critique</t>
        </is>
      </c>
      <c r="E119" s="21" t="inlineStr">
        <is>
          <t>Séjour facturé</t>
        </is>
      </c>
      <c r="F119" s="23" t="inlineStr">
        <is>
          <t>Gel après facturation</t>
        </is>
      </c>
      <c r="G119" s="21" t="inlineStr">
        <is>
          <t>1. Facturer le folio.
2. Modifier la catégorie de l'hôtel.</t>
        </is>
      </c>
      <c r="H119" s="21" t="inlineStr">
        <is>
          <t>La facture porte la ligne de taxe sans TVA ; le folio facturé n'est plus recalculé.</t>
        </is>
      </c>
      <c r="I119" s="24" t="inlineStr">
        <is>
          <t>À tester</t>
        </is>
      </c>
      <c r="J119" s="24" t="inlineStr"/>
      <c r="K119" s="24" t="inlineStr"/>
      <c r="L119" s="24" t="inlineStr"/>
    </row>
    <row r="120" ht="58" customHeight="1">
      <c r="A120" s="20" t="inlineStr">
        <is>
          <t>N05</t>
        </is>
      </c>
      <c r="B120" s="21" t="inlineStr">
        <is>
          <t>Taxe de séjour</t>
        </is>
      </c>
      <c r="C120" s="21" t="inlineStr">
        <is>
          <t>aite_city_tax</t>
        </is>
      </c>
      <c r="D120" s="22" t="inlineStr">
        <is>
          <t>1 - Critique</t>
        </is>
      </c>
      <c r="E120" s="21" t="inlineStr">
        <is>
          <t>Plusieurs séjours terminés sur le mois</t>
        </is>
      </c>
      <c r="F120" s="23" t="inlineStr">
        <is>
          <t>État mensuel à déclarer</t>
        </is>
      </c>
      <c r="G120" s="21" t="inlineStr">
        <is>
          <t>1. Facturation → Taxe de séjour.
2. Regrouper par mois.</t>
        </is>
      </c>
      <c r="H120" s="21" t="inlineStr">
        <is>
          <t>Le tableau donne, par mois et par hôtel, les nuitées taxées et le montant collecté ; le total correspond aux folios ; export Excel OK.</t>
        </is>
      </c>
      <c r="I120" s="24" t="inlineStr">
        <is>
          <t>À tester</t>
        </is>
      </c>
      <c r="J120" s="24" t="inlineStr"/>
      <c r="K120" s="24" t="inlineStr"/>
      <c r="L120" s="24" t="inlineStr"/>
    </row>
    <row r="121" ht="58" customHeight="1">
      <c r="A121" s="20" t="inlineStr">
        <is>
          <t>N06</t>
        </is>
      </c>
      <c r="B121" s="21" t="inlineStr">
        <is>
          <t>Taxe de séjour</t>
        </is>
      </c>
      <c r="C121" s="21" t="inlineStr">
        <is>
          <t>aite_city_tax</t>
        </is>
      </c>
      <c r="D121" s="21" t="inlineStr">
        <is>
          <t>2 - Majeur</t>
        </is>
      </c>
      <c r="E121" s="21" t="inlineStr">
        <is>
          <t>Hôtel exonéré</t>
        </is>
      </c>
      <c r="F121" s="23" t="inlineStr">
        <is>
          <t>Désactiver la collecte</t>
        </is>
      </c>
      <c r="G121" s="21" t="inlineStr">
        <is>
          <t>1. Décocher « Collecter la taxe de séjour » sur l'hôtel.</t>
        </is>
      </c>
      <c r="H121" s="21" t="inlineStr">
        <is>
          <t>Les folios ouverts perdent leur ligne de taxe ; les facturés ne bougent pas ; l'onglet affiche « désactivée ».</t>
        </is>
      </c>
      <c r="I121" s="24" t="inlineStr">
        <is>
          <t>À tester</t>
        </is>
      </c>
      <c r="J121" s="24" t="inlineStr"/>
      <c r="K121" s="24" t="inlineStr"/>
      <c r="L121" s="24" t="inlineStr"/>
    </row>
    <row r="122" ht="58" customHeight="1">
      <c r="A122" s="20" t="inlineStr">
        <is>
          <t>N07</t>
        </is>
      </c>
      <c r="B122" s="21" t="inlineStr">
        <is>
          <t>Taxe de séjour</t>
        </is>
      </c>
      <c r="C122" s="21" t="inlineStr">
        <is>
          <t>aite_city_tax</t>
        </is>
      </c>
      <c r="D122" s="21" t="inlineStr">
        <is>
          <t>2 - Majeur</t>
        </is>
      </c>
      <c r="E122" s="21" t="inlineStr">
        <is>
          <t>Pays sans barème (ex. Tchad)</t>
        </is>
      </c>
      <c r="F122" s="23" t="inlineStr">
        <is>
          <t>Message guidant vers la configuration</t>
        </is>
      </c>
      <c r="G122" s="21" t="inlineStr">
        <is>
          <t>1. Créer un hôtel dans un pays non couvert.</t>
        </is>
      </c>
      <c r="H122" s="21" t="inlineStr">
        <is>
          <t>Aucune taxe appliquée ; l'onglet indique où ajouter le barème ; l'ajout d'un barème l'active.</t>
        </is>
      </c>
      <c r="I122" s="24" t="inlineStr">
        <is>
          <t>À tester</t>
        </is>
      </c>
      <c r="J122" s="24" t="inlineStr"/>
      <c r="K122" s="24" t="inlineStr"/>
      <c r="L122" s="24" t="inlineStr"/>
    </row>
    <row r="123" ht="58" customHeight="1">
      <c r="A123" s="20" t="inlineStr">
        <is>
          <t>N08</t>
        </is>
      </c>
      <c r="B123" s="21" t="inlineStr">
        <is>
          <t>Taxe de séjour</t>
        </is>
      </c>
      <c r="C123" s="21" t="inlineStr">
        <is>
          <t>aite_city_tax</t>
        </is>
      </c>
      <c r="D123" s="21" t="inlineStr">
        <is>
          <t>2 - Majeur</t>
        </is>
      </c>
      <c r="E123" s="21" t="inlineStr">
        <is>
          <t>Nouvelle loi de finances</t>
        </is>
      </c>
      <c r="F123" s="23" t="inlineStr">
        <is>
          <t>Modifier un montant de barème</t>
        </is>
      </c>
      <c r="G123" s="21" t="inlineStr">
        <is>
          <t>1. Configuration → Barèmes → changer un montant.
2. Confirmer une nouvelle réservation.</t>
        </is>
      </c>
      <c r="H123" s="21" t="inlineStr">
        <is>
          <t>Le nouveau montant s'applique aux nouveaux folios ; l'ancien reste sur les folios facturés.</t>
        </is>
      </c>
      <c r="I123" s="24" t="inlineStr">
        <is>
          <t>À tester</t>
        </is>
      </c>
      <c r="J123" s="24" t="inlineStr"/>
      <c r="K123" s="24" t="inlineStr"/>
      <c r="L123" s="24" t="inlineStr"/>
    </row>
    <row r="124" ht="58" customHeight="1">
      <c r="A124" s="20" t="inlineStr">
        <is>
          <t>O01</t>
        </is>
      </c>
      <c r="B124" s="21" t="inlineStr">
        <is>
          <t>Registre des clients &amp; statistiques</t>
        </is>
      </c>
      <c r="C124" s="21" t="inlineStr">
        <is>
          <t>aite_guest_registry</t>
        </is>
      </c>
      <c r="D124" s="22" t="inlineStr">
        <is>
          <t>1 - Critique</t>
        </is>
      </c>
      <c r="E124" s="21" t="inlineStr">
        <is>
          <t>Client avec pièce et nationalité sur sa fiche contact</t>
        </is>
      </c>
      <c r="F124" s="23" t="inlineStr">
        <is>
          <t>Fiche créée et pré-remplie au check-in</t>
        </is>
      </c>
      <c r="G124" s="21" t="inlineStr">
        <is>
          <t>1. Faire le check-in.
2. Observer la réservation.</t>
        </is>
      </c>
      <c r="H124" s="21" t="inlineStr">
        <is>
          <t>Une fiche d'enregistrement existe pour le client principal, pré-remplie (nom, pièce, nationalité, dates) ; un bandeau indique ce qu'il reste à faire ; bouton « Fiches d'enregistrement x/y ».</t>
        </is>
      </c>
      <c r="I124" s="24" t="inlineStr">
        <is>
          <t>À tester</t>
        </is>
      </c>
      <c r="J124" s="24" t="inlineStr"/>
      <c r="K124" s="24" t="inlineStr"/>
      <c r="L124" s="24" t="inlineStr"/>
    </row>
    <row r="125" ht="58" customHeight="1">
      <c r="A125" s="20" t="inlineStr">
        <is>
          <t>O02</t>
        </is>
      </c>
      <c r="B125" s="21" t="inlineStr">
        <is>
          <t>Registre des clients &amp; statistiques</t>
        </is>
      </c>
      <c r="C125" s="21" t="inlineStr">
        <is>
          <t>aite_guest_registry</t>
        </is>
      </c>
      <c r="D125" s="22" t="inlineStr">
        <is>
          <t>1 - Critique</t>
        </is>
      </c>
      <c r="E125" s="21" t="inlineStr">
        <is>
          <t>Fiche pré-remplie incomplète</t>
        </is>
      </c>
      <c r="F125" s="23" t="inlineStr">
        <is>
          <t>Compléter la fiche jusqu'à « Complète »</t>
        </is>
      </c>
      <c r="G125" s="21" t="inlineStr">
        <is>
          <t>1. Cliquer « compléter maintenant ».
2. Renseigner la date de naissance.</t>
        </is>
      </c>
      <c r="H125" s="21" t="inlineStr">
        <is>
          <t>La colonne « Il manque » disparaît et la fiche passe « Complète » sans bouton ; le bandeau devient vert quand tous les occupants sont enregistrés.</t>
        </is>
      </c>
      <c r="I125" s="24" t="inlineStr">
        <is>
          <t>À tester</t>
        </is>
      </c>
      <c r="J125" s="24" t="inlineStr"/>
      <c r="K125" s="24" t="inlineStr"/>
      <c r="L125" s="24" t="inlineStr"/>
    </row>
    <row r="126" ht="58" customHeight="1">
      <c r="A126" s="20" t="inlineStr">
        <is>
          <t>O03</t>
        </is>
      </c>
      <c r="B126" s="21" t="inlineStr">
        <is>
          <t>Registre des clients &amp; statistiques</t>
        </is>
      </c>
      <c r="C126" s="21" t="inlineStr">
        <is>
          <t>aite_guest_registry</t>
        </is>
      </c>
      <c r="D126" s="22" t="inlineStr">
        <is>
          <t>1 - Critique</t>
        </is>
      </c>
      <c r="E126" s="21" t="inlineStr">
        <is>
          <t>Séjour à 2 occupants</t>
        </is>
      </c>
      <c r="F126" s="23" t="inlineStr">
        <is>
          <t>Ajouter un accompagnant</t>
        </is>
      </c>
      <c r="G126" s="21" t="inlineStr">
        <is>
          <t>1. Dans la fenêtre Fiches d'enregistrement, ajouter une ligne pour l'accompagnant (étranger).</t>
        </is>
      </c>
      <c r="H126" s="21" t="inlineStr">
        <is>
          <t>La fiche est complète d'emblée ; « Registre à jour 2/2 » ; le non-résident est identifié.</t>
        </is>
      </c>
      <c r="I126" s="24" t="inlineStr">
        <is>
          <t>À tester</t>
        </is>
      </c>
      <c r="J126" s="24" t="inlineStr"/>
      <c r="K126" s="24" t="inlineStr"/>
      <c r="L126" s="24" t="inlineStr"/>
    </row>
    <row r="127" ht="58" customHeight="1">
      <c r="A127" s="20" t="inlineStr">
        <is>
          <t>O04</t>
        </is>
      </c>
      <c r="B127" s="21" t="inlineStr">
        <is>
          <t>Registre des clients &amp; statistiques</t>
        </is>
      </c>
      <c r="C127" s="21" t="inlineStr">
        <is>
          <t>aite_guest_registry</t>
        </is>
      </c>
      <c r="D127" s="22" t="inlineStr">
        <is>
          <t>1 - Critique</t>
        </is>
      </c>
      <c r="E127" s="21" t="inlineStr">
        <is>
          <t>Fiche complète</t>
        </is>
      </c>
      <c r="F127" s="23" t="inlineStr">
        <is>
          <t>Imprimer la fiche d'enregistrement</t>
        </is>
      </c>
      <c r="G127" s="21" t="inlineStr">
        <is>
          <t>1. Cliquer l'icône imprimante (ou Imprimer la fiche).</t>
        </is>
      </c>
      <c r="H127" s="21" t="inlineStr">
        <is>
          <t>PDF avec identité, pièce, séjour, chambre, cases de signature client et établissement.</t>
        </is>
      </c>
      <c r="I127" s="24" t="inlineStr">
        <is>
          <t>À tester</t>
        </is>
      </c>
      <c r="J127" s="24" t="inlineStr"/>
      <c r="K127" s="24" t="inlineStr"/>
      <c r="L127" s="24" t="inlineStr"/>
    </row>
    <row r="128" ht="58" customHeight="1">
      <c r="A128" s="20" t="inlineStr">
        <is>
          <t>O05</t>
        </is>
      </c>
      <c r="B128" s="21" t="inlineStr">
        <is>
          <t>Registre des clients &amp; statistiques</t>
        </is>
      </c>
      <c r="C128" s="21" t="inlineStr">
        <is>
          <t>aite_guest_registry</t>
        </is>
      </c>
      <c r="D128" s="22" t="inlineStr">
        <is>
          <t>1 - Critique</t>
        </is>
      </c>
      <c r="E128" s="21" t="inlineStr">
        <is>
          <t>Plusieurs séjours sur une semaine</t>
        </is>
      </c>
      <c r="F128" s="23" t="inlineStr">
        <is>
          <t>Imprimer le registre de police sur une période</t>
        </is>
      </c>
      <c r="G128" s="21" t="inlineStr">
        <is>
          <t>1. Facturation → Registre de police (impression).
2. Choisir les dates.
3. Imprimer.</t>
        </is>
      </c>
      <c r="H128" s="21" t="inlineStr">
        <is>
          <t>Le registre liste chronologiquement toutes les personnes hébergées sur la période (A4 paysage) ; une période vide affiche un message clair.</t>
        </is>
      </c>
      <c r="I128" s="24" t="inlineStr">
        <is>
          <t>À tester</t>
        </is>
      </c>
      <c r="J128" s="24" t="inlineStr"/>
      <c r="K128" s="24" t="inlineStr"/>
      <c r="L128" s="24" t="inlineStr"/>
    </row>
    <row r="129" ht="58" customHeight="1">
      <c r="A129" s="20" t="inlineStr">
        <is>
          <t>O06</t>
        </is>
      </c>
      <c r="B129" s="21" t="inlineStr">
        <is>
          <t>Registre des clients &amp; statistiques</t>
        </is>
      </c>
      <c r="C129" s="21" t="inlineStr">
        <is>
          <t>aite_guest_registry</t>
        </is>
      </c>
      <c r="D129" s="21" t="inlineStr">
        <is>
          <t>2 - Majeur</t>
        </is>
      </c>
      <c r="E129" s="21" t="inlineStr">
        <is>
          <t>Fiches complètes sur plusieurs mois</t>
        </is>
      </c>
      <c r="F129" s="23" t="inlineStr">
        <is>
          <t>Statistiques d'hébergement</t>
        </is>
      </c>
      <c r="G129" s="21" t="inlineStr">
        <is>
          <t>1. Facturation → Statistiques d'hébergement.
2. Regrouper par nationalité, puis par motif.</t>
        </is>
      </c>
      <c r="H129" s="21" t="inlineStr">
        <is>
          <t>Arrivées, nuitées, résidents / non-résidents et répartitions correspondent aux fiches des clients arrivés ; export Excel.</t>
        </is>
      </c>
      <c r="I129" s="24" t="inlineStr">
        <is>
          <t>À tester</t>
        </is>
      </c>
      <c r="J129" s="24" t="inlineStr"/>
      <c r="K129" s="24" t="inlineStr"/>
      <c r="L129" s="24" t="inlineStr"/>
    </row>
    <row r="130" ht="58" customHeight="1">
      <c r="A130" s="20" t="inlineStr">
        <is>
          <t>O07</t>
        </is>
      </c>
      <c r="B130" s="21" t="inlineStr">
        <is>
          <t>Registre des clients &amp; statistiques</t>
        </is>
      </c>
      <c r="C130" s="21" t="inlineStr">
        <is>
          <t>aite_guest_registry</t>
        </is>
      </c>
      <c r="D130" s="21" t="inlineStr">
        <is>
          <t>2 - Majeur</t>
        </is>
      </c>
      <c r="E130" s="21" t="inlineStr">
        <is>
          <t>Accompagnant sans fiche contact</t>
        </is>
      </c>
      <c r="F130" s="23" t="inlineStr">
        <is>
          <t>Mémoriser la pièce sur le contact</t>
        </is>
      </c>
      <c r="G130" s="21" t="inlineStr">
        <is>
          <t>1. Lier un contact à la fiche.
2. « Mémoriser sur la fiche client ».</t>
        </is>
      </c>
      <c r="H130" s="21" t="inlineStr">
        <is>
          <t>Le contact porte désormais pièce et nationalité : la prochaine réservation sera pré-remplie.</t>
        </is>
      </c>
      <c r="I130" s="24" t="inlineStr">
        <is>
          <t>À tester</t>
        </is>
      </c>
      <c r="J130" s="24" t="inlineStr"/>
      <c r="K130" s="24" t="inlineStr"/>
      <c r="L130" s="24" t="inlineStr"/>
    </row>
    <row r="131" ht="58" customHeight="1">
      <c r="A131" s="20" t="inlineStr">
        <is>
          <t>O08</t>
        </is>
      </c>
      <c r="B131" s="21" t="inlineStr">
        <is>
          <t>Registre des clients &amp; statistiques</t>
        </is>
      </c>
      <c r="C131" s="21" t="inlineStr">
        <is>
          <t>aite_guest_registry</t>
        </is>
      </c>
      <c r="D131" s="21" t="inlineStr">
        <is>
          <t>2 - Majeur</t>
        </is>
      </c>
      <c r="E131" s="21" t="inlineStr">
        <is>
          <t>Utilisateur Gouvernante</t>
        </is>
      </c>
      <c r="F131" s="23" t="inlineStr">
        <is>
          <t>Droits de lecture seule</t>
        </is>
      </c>
      <c r="G131" s="21" t="inlineStr">
        <is>
          <t>1. Se connecter en Gouvernante.
2. Ouvrir le registre.</t>
        </is>
      </c>
      <c r="H131" s="21" t="inlineStr">
        <is>
          <t>Lecture possible, modification refusée.</t>
        </is>
      </c>
      <c r="I131" s="24" t="inlineStr">
        <is>
          <t>À tester</t>
        </is>
      </c>
      <c r="J131" s="24" t="inlineStr"/>
      <c r="K131" s="24" t="inlineStr"/>
      <c r="L131" s="24" t="inlineStr"/>
    </row>
    <row r="132" ht="58" customHeight="1">
      <c r="A132" s="20" t="inlineStr">
        <is>
          <t>P01</t>
        </is>
      </c>
      <c r="B132" s="21" t="inlineStr">
        <is>
          <t>Gouvernante, inspections &amp; maintenance</t>
        </is>
      </c>
      <c r="C132" s="21" t="inlineStr">
        <is>
          <t>aite_housekeeping</t>
        </is>
      </c>
      <c r="D132" s="22" t="inlineStr">
        <is>
          <t>1 - Critique</t>
        </is>
      </c>
      <c r="E132" s="21" t="inlineStr">
        <is>
          <t>Chambres dans divers états</t>
        </is>
      </c>
      <c r="F132" s="23" t="inlineStr">
        <is>
          <t>Lire le tableau des chambres sans formation</t>
        </is>
      </c>
      <c r="G132" s="21" t="inlineStr">
        <is>
          <t>1. Gouvernante → Tableau des chambres.</t>
        </is>
      </c>
      <c r="H132" s="21" t="inlineStr">
        <is>
          <t>Toutes les chambres sont visibles, classées À nettoyer / En cours / À inspecter / Propre ; chaque carte dit quoi faire, le client, l'équipière ; un bouton par étape.</t>
        </is>
      </c>
      <c r="I132" s="24" t="inlineStr">
        <is>
          <t>À tester</t>
        </is>
      </c>
      <c r="J132" s="24" t="inlineStr"/>
      <c r="K132" s="24" t="inlineStr"/>
      <c r="L132" s="24" t="inlineStr"/>
    </row>
    <row r="133" ht="58" customHeight="1">
      <c r="A133" s="20" t="inlineStr">
        <is>
          <t>P02</t>
        </is>
      </c>
      <c r="B133" s="21" t="inlineStr">
        <is>
          <t>Gouvernante, inspections &amp; maintenance</t>
        </is>
      </c>
      <c r="C133" s="21" t="inlineStr">
        <is>
          <t>aite_housekeeping</t>
        </is>
      </c>
      <c r="D133" s="22" t="inlineStr">
        <is>
          <t>1 - Critique</t>
        </is>
      </c>
      <c r="E133" s="21" t="inlineStr">
        <is>
          <t>Chambres à nettoyer non affectées, 2 équipières</t>
        </is>
      </c>
      <c r="F133" s="23" t="inlineStr">
        <is>
          <t>Répartir les chambres du jour</t>
        </is>
      </c>
      <c r="G133" s="21" t="inlineStr">
        <is>
          <t>1. Gouvernante → Répartir les chambres du jour.
2. Cocher les équipières.
3. Répartir.</t>
        </is>
      </c>
      <c r="H133" s="21" t="inlineStr">
        <is>
          <t>Les tâches sont distribuées à tour de rôle ; sans équipière cochée, message clair.</t>
        </is>
      </c>
      <c r="I133" s="24" t="inlineStr">
        <is>
          <t>À tester</t>
        </is>
      </c>
      <c r="J133" s="24" t="inlineStr"/>
      <c r="K133" s="24" t="inlineStr"/>
      <c r="L133" s="24" t="inlineStr"/>
    </row>
    <row r="134" ht="58" customHeight="1">
      <c r="A134" s="20" t="inlineStr">
        <is>
          <t>P03</t>
        </is>
      </c>
      <c r="B134" s="21" t="inlineStr">
        <is>
          <t>Gouvernante, inspections &amp; maintenance</t>
        </is>
      </c>
      <c r="C134" s="21" t="inlineStr">
        <is>
          <t>aite_housekeeping</t>
        </is>
      </c>
      <c r="D134" s="22" t="inlineStr">
        <is>
          <t>1 - Critique</t>
        </is>
      </c>
      <c r="E134" s="21" t="inlineStr">
        <is>
          <t>Équipière connectée sur téléphone</t>
        </is>
      </c>
      <c r="F134" s="23" t="inlineStr">
        <is>
          <t>Ma journée : commencer et terminer</t>
        </is>
      </c>
      <c r="G134" s="21" t="inlineStr">
        <is>
          <t>1. Ouvrir « Ma journée ».
2. « Je commence » puis « C'est fait ».</t>
        </is>
      </c>
      <c r="H134" s="21" t="inlineStr">
        <is>
          <t>Elle ne voit que ses chambres ; la chambre passe « Nettoyage en cours » puis « Propre » ; durée mesurée.</t>
        </is>
      </c>
      <c r="I134" s="24" t="inlineStr">
        <is>
          <t>À tester</t>
        </is>
      </c>
      <c r="J134" s="24" t="inlineStr"/>
      <c r="K134" s="24" t="inlineStr"/>
      <c r="L134" s="24" t="inlineStr"/>
    </row>
    <row r="135" ht="58" customHeight="1">
      <c r="A135" s="20" t="inlineStr">
        <is>
          <t>P04</t>
        </is>
      </c>
      <c r="B135" s="21" t="inlineStr">
        <is>
          <t>Gouvernante, inspections &amp; maintenance</t>
        </is>
      </c>
      <c r="C135" s="21" t="inlineStr">
        <is>
          <t>aite_housekeeping</t>
        </is>
      </c>
      <c r="D135" s="22" t="inlineStr">
        <is>
          <t>1 - Critique</t>
        </is>
      </c>
      <c r="E135" s="21" t="inlineStr">
        <is>
          <t>Inspection après recouche activée</t>
        </is>
      </c>
      <c r="F135" s="23" t="inlineStr">
        <is>
          <t>Inspection avec checklist</t>
        </is>
      </c>
      <c r="G135" s="21" t="inlineStr">
        <is>
          <t>1. Après recouche, ouvrir l'inspection.
2. Laisser un point non coché avec remarque.
3. Valider.</t>
        </is>
      </c>
      <c r="H135" s="21" t="inlineStr">
        <is>
          <t>La chambre repasse « À nettoyer » avec une tâche URGENTE reprenant la remarque, affectée à la même équipière ; une inspection conforme la rend propre.</t>
        </is>
      </c>
      <c r="I135" s="24" t="inlineStr">
        <is>
          <t>À tester</t>
        </is>
      </c>
      <c r="J135" s="24" t="inlineStr"/>
      <c r="K135" s="24" t="inlineStr"/>
      <c r="L135" s="24" t="inlineStr"/>
    </row>
    <row r="136" ht="58" customHeight="1">
      <c r="A136" s="20" t="inlineStr">
        <is>
          <t>P05</t>
        </is>
      </c>
      <c r="B136" s="21" t="inlineStr">
        <is>
          <t>Gouvernante, inspections &amp; maintenance</t>
        </is>
      </c>
      <c r="C136" s="21" t="inlineStr">
        <is>
          <t>aite_housekeeping</t>
        </is>
      </c>
      <c r="D136" s="22" t="inlineStr">
        <is>
          <t>1 - Critique</t>
        </is>
      </c>
      <c r="E136" s="21" t="inlineStr">
        <is>
          <t>Chambre libre</t>
        </is>
      </c>
      <c r="F136" s="23" t="inlineStr">
        <is>
          <t>Signaler une panne qui bloque la chambre</t>
        </is>
      </c>
      <c r="G136" s="21" t="inlineStr">
        <is>
          <t>1. Sur la carte, clé → « Signaler un problème ».
2. Cocher « chambre invendable ».</t>
        </is>
      </c>
      <c r="H136" s="21" t="inlineStr">
        <is>
          <t>Demande créée dans Pannes &amp; réparations ; chambre hors service, indisponible à la réservation ; badge de panne sur la carte.</t>
        </is>
      </c>
      <c r="I136" s="24" t="inlineStr">
        <is>
          <t>À tester</t>
        </is>
      </c>
      <c r="J136" s="24" t="inlineStr"/>
      <c r="K136" s="24" t="inlineStr"/>
      <c r="L136" s="24" t="inlineStr"/>
    </row>
    <row r="137" ht="58" customHeight="1">
      <c r="A137" s="20" t="inlineStr">
        <is>
          <t>P06</t>
        </is>
      </c>
      <c r="B137" s="21" t="inlineStr">
        <is>
          <t>Gouvernante, inspections &amp; maintenance</t>
        </is>
      </c>
      <c r="C137" s="21" t="inlineStr">
        <is>
          <t>aite_housekeeping</t>
        </is>
      </c>
      <c r="D137" s="22" t="inlineStr">
        <is>
          <t>1 - Critique</t>
        </is>
      </c>
      <c r="E137" s="21" t="inlineStr">
        <is>
          <t>Demande bloquante ouverte</t>
        </is>
      </c>
      <c r="F137" s="23" t="inlineStr">
        <is>
          <t>Remise en vente automatique après réparation</t>
        </is>
      </c>
      <c r="G137" s="21" t="inlineStr">
        <is>
          <t>1. Passer la demande en « Réparé ».</t>
        </is>
      </c>
      <c r="H137" s="21" t="inlineStr">
        <is>
          <t>La chambre revient en service, « À nettoyer », avec une tâche de remise en service ; plus de panne ouverte.</t>
        </is>
      </c>
      <c r="I137" s="24" t="inlineStr">
        <is>
          <t>À tester</t>
        </is>
      </c>
      <c r="J137" s="24" t="inlineStr"/>
      <c r="K137" s="24" t="inlineStr"/>
      <c r="L137" s="24" t="inlineStr"/>
    </row>
    <row r="138" ht="58" customHeight="1">
      <c r="A138" s="20" t="inlineStr">
        <is>
          <t>P07</t>
        </is>
      </c>
      <c r="B138" s="21" t="inlineStr">
        <is>
          <t>Gouvernante, inspections &amp; maintenance</t>
        </is>
      </c>
      <c r="C138" s="21" t="inlineStr">
        <is>
          <t>aite_housekeeping</t>
        </is>
      </c>
      <c r="D138" s="21" t="inlineStr">
        <is>
          <t>2 - Majeur</t>
        </is>
      </c>
      <c r="E138" s="21" t="inlineStr">
        <is>
          <t>Chambre occupée</t>
        </is>
      </c>
      <c r="F138" s="23" t="inlineStr">
        <is>
          <t>Panne sur chambre occupée</t>
        </is>
      </c>
      <c r="G138" s="21" t="inlineStr">
        <is>
          <t>1. Signaler une panne bloquante sur une chambre occupée.</t>
        </is>
      </c>
      <c r="H138" s="21" t="inlineStr">
        <is>
          <t>La demande est créée mais la chambre n'est pas mise hors service.</t>
        </is>
      </c>
      <c r="I138" s="24" t="inlineStr">
        <is>
          <t>À tester</t>
        </is>
      </c>
      <c r="J138" s="24" t="inlineStr"/>
      <c r="K138" s="24" t="inlineStr"/>
      <c r="L138" s="24" t="inlineStr"/>
    </row>
    <row r="139" ht="58" customHeight="1">
      <c r="A139" s="20" t="inlineStr">
        <is>
          <t>P08</t>
        </is>
      </c>
      <c r="B139" s="21" t="inlineStr">
        <is>
          <t>Gouvernante, inspections &amp; maintenance</t>
        </is>
      </c>
      <c r="C139" s="21" t="inlineStr">
        <is>
          <t>aite_housekeeping</t>
        </is>
      </c>
      <c r="D139" s="21" t="inlineStr">
        <is>
          <t>2 - Majeur</t>
        </is>
      </c>
      <c r="E139" s="21" t="inlineStr">
        <is>
          <t>Objet oublié trouvé en chambre</t>
        </is>
      </c>
      <c r="F139" s="23" t="inlineStr">
        <is>
          <t>Objets trouvés</t>
        </is>
      </c>
      <c r="G139" s="21" t="inlineStr">
        <is>
          <t>1. Gouvernante → Objets trouvés → créer.
2. Choisir la chambre.
3. « Rendu au client ».</t>
        </is>
      </c>
      <c r="H139" s="21" t="inlineStr">
        <is>
          <t>Le séjour est deviné depuis la chambre et la date ; le statut passe « Rendu » daté.</t>
        </is>
      </c>
      <c r="I139" s="24" t="inlineStr">
        <is>
          <t>À tester</t>
        </is>
      </c>
      <c r="J139" s="24" t="inlineStr"/>
      <c r="K139" s="24" t="inlineStr"/>
      <c r="L139" s="24" t="inlineStr"/>
    </row>
    <row r="140" ht="58" customHeight="1">
      <c r="A140" s="20" t="inlineStr">
        <is>
          <t>P09</t>
        </is>
      </c>
      <c r="B140" s="21" t="inlineStr">
        <is>
          <t>Gouvernante, inspections &amp; maintenance</t>
        </is>
      </c>
      <c r="C140" s="21" t="inlineStr">
        <is>
          <t>aite_housekeeping</t>
        </is>
      </c>
      <c r="D140" s="21" t="inlineStr">
        <is>
          <t>3 - Mineur</t>
        </is>
      </c>
      <c r="E140" s="21" t="inlineStr">
        <is>
          <t>Responsable</t>
        </is>
      </c>
      <c r="F140" s="23" t="inlineStr">
        <is>
          <t>Personnaliser la checklist d'inspection</t>
        </is>
      </c>
      <c r="G140" s="21" t="inlineStr">
        <is>
          <t>1. Configuration → Points de contrôle.
2. Ajouter un point.</t>
        </is>
      </c>
      <c r="H140" s="21" t="inlineStr">
        <is>
          <t>Les nouvelles inspections incluent le point ajouté.</t>
        </is>
      </c>
      <c r="I140" s="24" t="inlineStr">
        <is>
          <t>À tester</t>
        </is>
      </c>
      <c r="J140" s="24" t="inlineStr"/>
      <c r="K140" s="24" t="inlineStr"/>
      <c r="L140" s="24" t="inlineStr"/>
    </row>
    <row r="141" ht="58" customHeight="1">
      <c r="A141" s="20" t="inlineStr">
        <is>
          <t>Q01</t>
        </is>
      </c>
      <c r="B141" s="21" t="inlineStr">
        <is>
          <t>Indicateurs hôteliers — RevPAR, pickup, pace</t>
        </is>
      </c>
      <c r="C141" s="21" t="inlineStr">
        <is>
          <t>aite_exec_dashboard, aite_direction_dashboard</t>
        </is>
      </c>
      <c r="D141" s="22" t="inlineStr">
        <is>
          <t>1 - Critique</t>
        </is>
      </c>
      <c r="E141" s="21" t="inlineStr">
        <is>
          <t>Séjours confirmés sur la période, 2 chambres ou plus</t>
        </is>
      </c>
      <c r="F141" s="23" t="inlineStr">
        <is>
          <t>Lire le taux d'occupation, l'ADR et le RevPAR</t>
        </is>
      </c>
      <c r="G141" s="21" t="inlineStr">
        <is>
          <t>1. Hôtel → Activité par pôle.
2. Période « Ce mois ».
3. Lire la rangée « Hébergement — indicateurs de performance ».</t>
        </is>
      </c>
      <c r="H141" s="21" t="inlineStr">
        <is>
          <t>TO = nuitées vendues ÷ (chambres en service × jours) ; ADR = CA des nuitées ÷ nuitées vendues ; RevPAR = CA des nuitées ÷ chambres disponibles, et RevPAR = ADR × TO. Une chambre hors service ne compte pas comme disponible.</t>
        </is>
      </c>
      <c r="I141" s="24" t="inlineStr">
        <is>
          <t>À tester</t>
        </is>
      </c>
      <c r="J141" s="24" t="inlineStr"/>
      <c r="K141" s="24" t="inlineStr"/>
      <c r="L141" s="24" t="inlineStr"/>
    </row>
    <row r="142" ht="58" customHeight="1">
      <c r="A142" s="20" t="inlineStr">
        <is>
          <t>Q02</t>
        </is>
      </c>
      <c r="B142" s="21" t="inlineStr">
        <is>
          <t>Indicateurs hôteliers — RevPAR, pickup, pace</t>
        </is>
      </c>
      <c r="C142" s="21" t="inlineStr">
        <is>
          <t>aite_exec_dashboard, aite_direction_dashboard</t>
        </is>
      </c>
      <c r="D142" s="21" t="inlineStr">
        <is>
          <t>2 - Majeur</t>
        </is>
      </c>
      <c r="E142" s="21" t="inlineStr">
        <is>
          <t>Tableau exécutif ouvert</t>
        </is>
      </c>
      <c r="F142" s="23" t="inlineStr">
        <is>
          <t>Comprendre un indicateur sans formation</t>
        </is>
      </c>
      <c r="G142" s="21" t="inlineStr">
        <is>
          <t>1. Survoler le « ? » de chaque carte (TO, ADR, RevPAR, pickup, pace).</t>
        </is>
      </c>
      <c r="H142" s="21" t="inlineStr">
        <is>
          <t>Chaque carte affiche une phrase en français qui dit ce que mesure l'indicateur ; celle du RevPAR précise « chaque chambre disponible, vendue ou non ».</t>
        </is>
      </c>
      <c r="I142" s="24" t="inlineStr">
        <is>
          <t>À tester</t>
        </is>
      </c>
      <c r="J142" s="24" t="inlineStr"/>
      <c r="K142" s="24" t="inlineStr"/>
      <c r="L142" s="24" t="inlineStr"/>
    </row>
    <row r="143" ht="58" customHeight="1">
      <c r="A143" s="20" t="inlineStr">
        <is>
          <t>Q03</t>
        </is>
      </c>
      <c r="B143" s="21" t="inlineStr">
        <is>
          <t>Indicateurs hôteliers — RevPAR, pickup, pace</t>
        </is>
      </c>
      <c r="C143" s="21" t="inlineStr">
        <is>
          <t>aite_exec_dashboard, aite_direction_dashboard</t>
        </is>
      </c>
      <c r="D143" s="21" t="inlineStr">
        <is>
          <t>2 - Majeur</t>
        </is>
      </c>
      <c r="E143" s="21" t="inlineStr">
        <is>
          <t>Séjours sur la même période l'année précédente</t>
        </is>
      </c>
      <c r="F143" s="23" t="inlineStr">
        <is>
          <t>Comparer avec l'an dernier</t>
        </is>
      </c>
      <c r="G143" s="21" t="inlineStr">
        <is>
          <t>1. Choisir une période qui a un historique N-1.
2. Lire l'écart sous TO, ADR et RevPAR.</t>
        </is>
      </c>
      <c r="H143" s="21" t="inlineStr">
        <is>
          <t>Un écart en % s'affiche, vert s'il est positif, rouge s'il est négatif ; sans historique N-1, aucun écart n'est affiché (pas de « 0 % » trompeur).</t>
        </is>
      </c>
      <c r="I143" s="24" t="inlineStr">
        <is>
          <t>À tester</t>
        </is>
      </c>
      <c r="J143" s="24" t="inlineStr"/>
      <c r="K143" s="24" t="inlineStr"/>
      <c r="L143" s="24" t="inlineStr"/>
    </row>
    <row r="144" ht="58" customHeight="1">
      <c r="A144" s="20" t="inlineStr">
        <is>
          <t>Q04</t>
        </is>
      </c>
      <c r="B144" s="21" t="inlineStr">
        <is>
          <t>Indicateurs hôteliers — RevPAR, pickup, pace</t>
        </is>
      </c>
      <c r="C144" s="21" t="inlineStr">
        <is>
          <t>aite_exec_dashboard, aite_direction_dashboard</t>
        </is>
      </c>
      <c r="D144" s="21" t="inlineStr">
        <is>
          <t>2 - Majeur</t>
        </is>
      </c>
      <c r="E144" s="21" t="inlineStr">
        <is>
          <t>Réservations prises cette semaine pour le mois à venir</t>
        </is>
      </c>
      <c r="F144" s="23" t="inlineStr">
        <is>
          <t>Lire le pickup</t>
        </is>
      </c>
      <c r="G144" s="21" t="inlineStr">
        <is>
          <t>1. Créer et confirmer une réservation pour dans 10 jours.
2. Recharger le tableau exécutif.</t>
        </is>
      </c>
      <c r="H144" s="21" t="inlineStr">
        <is>
          <t>La carte « Réservations récentes (pickup) » augmente du nombre de nuits de la réservation ; une réservation pour dans 40 jours ne le change pas.</t>
        </is>
      </c>
      <c r="I144" s="24" t="inlineStr">
        <is>
          <t>À tester</t>
        </is>
      </c>
      <c r="J144" s="24" t="inlineStr"/>
      <c r="K144" s="24" t="inlineStr"/>
      <c r="L144" s="24" t="inlineStr"/>
    </row>
    <row r="145" ht="58" customHeight="1">
      <c r="A145" s="20" t="inlineStr">
        <is>
          <t>Q05</t>
        </is>
      </c>
      <c r="B145" s="21" t="inlineStr">
        <is>
          <t>Indicateurs hôteliers — RevPAR, pickup, pace</t>
        </is>
      </c>
      <c r="C145" s="21" t="inlineStr">
        <is>
          <t>aite_exec_dashboard, aite_direction_dashboard</t>
        </is>
      </c>
      <c r="D145" s="21" t="inlineStr">
        <is>
          <t>3 - Mineur</t>
        </is>
      </c>
      <c r="E145" s="21" t="inlineStr">
        <is>
          <t>Réservations du mois en cours et historique N-1</t>
        </is>
      </c>
      <c r="F145" s="23" t="inlineStr">
        <is>
          <t>Lire le pace du mois</t>
        </is>
      </c>
      <c r="G145" s="21" t="inlineStr">
        <is>
          <t>1. Lire la carte « Rythme du mois (pace) ».</t>
        </is>
      </c>
      <c r="H145" s="21" t="inlineStr">
        <is>
          <t>Elle donne les nuitées déjà réservées pour le mois, et celles qui l'étaient à la même date l'an dernier pour le même mois ; une réservation N-1 prise après cette date n'est pas comptée.</t>
        </is>
      </c>
      <c r="I145" s="24" t="inlineStr">
        <is>
          <t>À tester</t>
        </is>
      </c>
      <c r="J145" s="24" t="inlineStr"/>
      <c r="K145" s="24" t="inlineStr"/>
      <c r="L145" s="24" t="inlineStr"/>
    </row>
    <row r="146" ht="58" customHeight="1">
      <c r="A146" s="20" t="inlineStr">
        <is>
          <t>Q06</t>
        </is>
      </c>
      <c r="B146" s="21" t="inlineStr">
        <is>
          <t>Indicateurs hôteliers — RevPAR, pickup, pace</t>
        </is>
      </c>
      <c r="C146" s="21" t="inlineStr">
        <is>
          <t>aite_exec_dashboard, aite_direction_dashboard</t>
        </is>
      </c>
      <c r="D146" s="22" t="inlineStr">
        <is>
          <t>1 - Critique</t>
        </is>
      </c>
      <c r="E146" s="21" t="inlineStr">
        <is>
          <t>Modules hôtel et Direction installés</t>
        </is>
      </c>
      <c r="F146" s="23" t="inlineStr">
        <is>
          <t>Retrouver les mêmes chiffres dans le cockpit Direction</t>
        </is>
      </c>
      <c r="G146" s="21" t="inlineStr">
        <is>
          <t>1. Hôtel → Activité par pôle (tableau exécutif) : noter TO, ADR, RevPAR.
2. Direction → Vue d'ensemble, même période.
3. Cliquer une carte de la rangée « Hébergement ».</t>
        </is>
      </c>
      <c r="H146" s="21" t="inlineStr">
        <is>
          <t>TO, ADR et RevPAR sont identiques sur les deux écrans ; le clic ouvre le tableau de bord exécutif.</t>
        </is>
      </c>
      <c r="I146" s="24" t="inlineStr">
        <is>
          <t>À tester</t>
        </is>
      </c>
      <c r="J146" s="24" t="inlineStr"/>
      <c r="K146" s="24" t="inlineStr"/>
      <c r="L146" s="24" t="inlineStr"/>
    </row>
    <row r="147" ht="58" customHeight="1">
      <c r="A147" s="20" t="inlineStr">
        <is>
          <t>Q07</t>
        </is>
      </c>
      <c r="B147" s="21" t="inlineStr">
        <is>
          <t>Indicateurs hôteliers — RevPAR, pickup, pace</t>
        </is>
      </c>
      <c r="C147" s="21" t="inlineStr">
        <is>
          <t>aite_exec_dashboard, aite_direction_dashboard</t>
        </is>
      </c>
      <c r="D147" s="22" t="inlineStr">
        <is>
          <t>1 - Critique</t>
        </is>
      </c>
      <c r="E147" s="21" t="inlineStr">
        <is>
          <t>Base neuve, administrateur sans réglage de droits</t>
        </is>
      </c>
      <c r="F147" s="23" t="inlineStr">
        <is>
          <t>Ouvrir le cockpit Direction au premier clic</t>
        </is>
      </c>
      <c r="G147" s="21" t="inlineStr">
        <is>
          <t>1. Se connecter en administrateur.
2. Ouvrir Direction → Vue d'ensemble, puis chaque onglet.</t>
        </is>
      </c>
      <c r="H147" s="21" t="inlineStr">
        <is>
          <t>Aucune erreur d'accès : l'administrateur reçoit d'office les profils Manager (Analyses POS) et Responsable (Crédit clients).</t>
        </is>
      </c>
      <c r="I147" s="24" t="inlineStr">
        <is>
          <t>À tester</t>
        </is>
      </c>
      <c r="J147" s="24" t="inlineStr"/>
      <c r="K147" s="24" t="inlineStr"/>
      <c r="L147" s="24" t="inlineStr"/>
    </row>
  </sheetData>
  <autoFilter ref="A1:L147"/>
  <dataValidations count="1">
    <dataValidation sqref="I2:I147" showDropDown="0" showInputMessage="0" showErrorMessage="0" allowBlank="1" error="Choisir un statut dans la liste." type="list">
      <formula1>"À tester,OK,KO,Bloqué,Non applicable"</formula1>
    </dataValidation>
  </dataValidations>
  <printOptions horizontalCentered="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24" customWidth="1" min="3" max="3"/>
    <col width="52" customWidth="1" min="4" max="4"/>
    <col width="14" customWidth="1" min="5" max="5"/>
    <col width="12" customWidth="1" min="6" max="6"/>
    <col width="16" customWidth="1" min="7" max="7"/>
    <col width="16" customWidth="1" min="8" max="8"/>
    <col width="12" customWidth="1" min="9" max="9"/>
    <col width="16" customWidth="1" min="10" max="10"/>
  </cols>
  <sheetData>
    <row r="1" ht="26" customHeight="1">
      <c r="A1" s="25" t="inlineStr">
        <is>
          <t>N°</t>
        </is>
      </c>
      <c r="B1" s="25" t="inlineStr">
        <is>
          <t>Cas lié</t>
        </is>
      </c>
      <c r="C1" s="25" t="inlineStr">
        <is>
          <t>Module</t>
        </is>
      </c>
      <c r="D1" s="25" t="inlineStr">
        <is>
          <t>Description</t>
        </is>
      </c>
      <c r="E1" s="25" t="inlineStr">
        <is>
          <t>Gravité</t>
        </is>
      </c>
      <c r="F1" s="25" t="inlineStr">
        <is>
          <t>Détecté le</t>
        </is>
      </c>
      <c r="G1" s="25" t="inlineStr">
        <is>
          <t>Détecté par</t>
        </is>
      </c>
      <c r="H1" s="25" t="inlineStr">
        <is>
          <t>Statut</t>
        </is>
      </c>
      <c r="I1" s="25" t="inlineStr">
        <is>
          <t>Corrigé le</t>
        </is>
      </c>
      <c r="J1" s="25" t="inlineStr">
        <is>
          <t>Vérifié par</t>
        </is>
      </c>
    </row>
    <row r="2" ht="34" customHeight="1">
      <c r="A2" s="26" t="n">
        <v>1</v>
      </c>
      <c r="B2" s="26" t="inlineStr">
        <is>
          <t>E03</t>
        </is>
      </c>
      <c r="C2" s="26" t="inlineStr">
        <is>
          <t>aite_hotel_pos_link</t>
        </is>
      </c>
      <c r="D2" s="26" t="inlineStr">
        <is>
          <t>Exemple : une chambre libre apparaît dans la liste des notes de chambre.</t>
        </is>
      </c>
      <c r="E2" s="26" t="inlineStr">
        <is>
          <t>Bloquante</t>
        </is>
      </c>
      <c r="F2" s="26" t="inlineStr">
        <is>
          <t>12/09/2026</t>
        </is>
      </c>
      <c r="G2" s="26" t="inlineStr">
        <is>
          <t>Nom du testeur</t>
        </is>
      </c>
      <c r="H2" s="26" t="inlineStr">
        <is>
          <t>Ouverte</t>
        </is>
      </c>
      <c r="I2" s="26" t="inlineStr"/>
      <c r="J2" s="26" t="inlineStr"/>
    </row>
    <row r="3">
      <c r="A3" s="9" t="inlineStr">
        <is>
          <t>↑ ligne d'exemple à remplacer — saisir les anomalies à partir de la ligne 3</t>
        </is>
      </c>
    </row>
  </sheetData>
  <autoFilter ref="A1:J200"/>
  <dataValidations count="2">
    <dataValidation sqref="E2:E200" showDropDown="0" showInputMessage="0" showErrorMessage="0" allowBlank="1" type="list">
      <formula1>"Bloquante,Majeure,Mineure,Cosmétique"</formula1>
    </dataValidation>
    <dataValidation sqref="H2:H200" showDropDown="0" showInputMessage="0" showErrorMessage="0" allowBlank="1" type="list">
      <formula1>"Ouverte,En cours,Corrigée,Vérifiée,Rejetée"</formula1>
    </dataValidation>
  </dataValidations>
  <printOptions horizontalCentered="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B26"/>
  <sheetViews>
    <sheetView showGridLines="0"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27" t="inlineStr">
        <is>
          <t>COMMENT UTILISER CE CAHIER DE RECETTE</t>
        </is>
      </c>
    </row>
    <row r="3" ht="30" customHeight="1">
      <c r="B3" s="28" t="inlineStr"/>
    </row>
    <row r="4">
      <c r="B4" s="29" t="inlineStr">
        <is>
          <t>1. Préparer l'environnement</t>
        </is>
      </c>
    </row>
    <row r="5" ht="30" customHeight="1">
      <c r="B5" s="28" t="inlineStr">
        <is>
          <t>Installer la suite AITE HOUSE sur une base de recette (jamais sur la production). Installer aite_demo_data pour disposer de données, ou partir des données réelles du client selon le contexte.</t>
        </is>
      </c>
    </row>
    <row r="6" ht="30" customHeight="1">
      <c r="B6" s="28" t="inlineStr"/>
    </row>
    <row r="7">
      <c r="B7" s="29" t="inlineStr">
        <is>
          <t>2. Dérouler les cas dans l'ordre des domaines</t>
        </is>
      </c>
    </row>
    <row r="8" ht="30" customHeight="1">
      <c r="B8" s="28" t="inlineStr">
        <is>
          <t>Les cas A à M suivent le parcours naturel de l'établissement : hébergement, espaces, réservation en ligne, caisse, note de chambre, crédit, fidélité, stock, achats, pilotage, puis transverse.</t>
        </is>
      </c>
    </row>
    <row r="9" ht="30" customHeight="1">
      <c r="B9" s="28" t="inlineStr">
        <is>
          <t>Traiter en priorité les cas « 1 - Critique » : ils conditionnent la mise en production.</t>
        </is>
      </c>
    </row>
    <row r="10" ht="30" customHeight="1">
      <c r="B10" s="28" t="inlineStr"/>
    </row>
    <row r="11">
      <c r="B11" s="29" t="inlineStr">
        <is>
          <t>3. Saisir le résultat de chaque cas</t>
        </is>
      </c>
    </row>
    <row r="12" ht="30" customHeight="1">
      <c r="B12" s="28" t="inlineStr">
        <is>
          <t>Colonne Statut (liste déroulante) : À tester / OK / KO / Bloqué / Non applicable.</t>
        </is>
      </c>
    </row>
    <row r="13" ht="30" customHeight="1">
      <c r="B13" s="28" t="inlineStr">
        <is>
          <t>Renseigner le testeur, la date, et en cas d'échec une description précise dans la colonne Anomalie.</t>
        </is>
      </c>
    </row>
    <row r="14" ht="30" customHeight="1">
      <c r="B14" s="28" t="inlineStr"/>
    </row>
    <row r="15">
      <c r="B15" s="29" t="inlineStr">
        <is>
          <t>4. Journaliser les anomalies</t>
        </is>
      </c>
    </row>
    <row r="16" ht="30" customHeight="1">
      <c r="B16" s="28" t="inlineStr">
        <is>
          <t>Chaque KO donne lieu à une ligne dans l'onglet Anomalies, avec sa gravité et son statut de correction. La ligne 2 est un exemple à remplacer.</t>
        </is>
      </c>
    </row>
    <row r="17" ht="30" customHeight="1">
      <c r="B17" s="28" t="inlineStr"/>
    </row>
    <row r="18">
      <c r="B18" s="29" t="inlineStr">
        <is>
          <t>5. Suivre l'avancement</t>
        </is>
      </c>
    </row>
    <row r="19" ht="30" customHeight="1">
      <c r="B19" s="28" t="inlineStr">
        <is>
          <t>L'onglet Synthèse se met à jour automatiquement : avancement global, taux de réussite, cas critiques en échec, et détail par domaine.</t>
        </is>
      </c>
    </row>
    <row r="20" ht="30" customHeight="1">
      <c r="B20" s="28" t="inlineStr"/>
    </row>
    <row r="21">
      <c r="B21" s="29" t="inlineStr">
        <is>
          <t>6. Critères de prononcé de la recette</t>
        </is>
      </c>
    </row>
    <row r="22" ht="30" customHeight="1">
      <c r="B22" s="28" t="inlineStr">
        <is>
          <t>· Recette prononcée : 100 % des cas critiques en OK et aucune anomalie bloquante ouverte.</t>
        </is>
      </c>
    </row>
    <row r="23" ht="30" customHeight="1">
      <c r="B23" s="28" t="inlineStr">
        <is>
          <t>· Recette prononcée avec réserves : cas critiques en OK, anomalies majeures ou mineures listées avec une date de correction convenue.</t>
        </is>
      </c>
    </row>
    <row r="24" ht="30" customHeight="1">
      <c r="B24" s="28" t="inlineStr">
        <is>
          <t>· Recette refusée : au moins un cas critique en KO.</t>
        </is>
      </c>
    </row>
    <row r="25" ht="30" customHeight="1">
      <c r="B25" s="28" t="inlineStr"/>
    </row>
    <row r="26">
      <c r="B26" s="9" t="inlineStr">
        <is>
          <t>Éditeur : AITE Consulting SARL — Douala, Makepe Bloc F — info@aite-consulting.com</t>
        </is>
      </c>
    </row>
  </sheetData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2026-10-23T07:47:51Z</dcterms:created>
  <dcterms:modified xmlns:dcterms="http://purl.org/dc/terms/" xmlns:xsi="http://www.w3.org/2001/XMLSchema-instance" xsi:type="dcterms:W3CDTF">2026-10-23T07:47:51Z</dcterms:modified>
</cp:coreProperties>
</file>