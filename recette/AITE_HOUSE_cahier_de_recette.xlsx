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Cas de test" sheetId="2" state="visible" r:id="rId4"/>
    <sheet name="Anomalies" sheetId="3" state="visible" r:id="rId5"/>
    <sheet name="Mode d'emploi" sheetId="4" state="visible" r:id="rId6"/>
  </sheets>
  <definedNames>
    <definedName function="false" hidden="false" localSheetId="2" name="_xlnm.Print_Titles" vbProcedure="false">Anomalies!$1:$1</definedName>
    <definedName function="false" hidden="true" localSheetId="2" name="_xlnm._FilterDatabase" vbProcedure="false">Anomalies!$A$1:$J$200</definedName>
    <definedName function="false" hidden="false" localSheetId="1" name="_xlnm.Print_Titles" vbProcedure="false">'Cas de test'!$1:$1</definedName>
    <definedName function="false" hidden="true" localSheetId="1" name="_xlnm._FilterDatabase" vbProcedure="false">'Cas de test'!$A$1:$L$140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<sst xmlns="http://schemas.openxmlformats.org/spreadsheetml/2006/main" count="1365" uniqueCount="797">
  <si>
    <t xml:space="preserve">CAHIER DE RECETTE — AITE HOUSE</t>
  </si>
  <si>
    <t xml:space="preserve">Suite de gestion hôtelière sur Odoo 18 — 12 modules</t>
  </si>
  <si>
    <t xml:space="preserve">AITE Consulting SARL · info@aite-consulting.com · (+237) 673 373 367</t>
  </si>
  <si>
    <t xml:space="preserve">IDENTIFICATION DE LA RECETTE</t>
  </si>
  <si>
    <t xml:space="preserve">Client / établissement</t>
  </si>
  <si>
    <t xml:space="preserve">Version testée</t>
  </si>
  <si>
    <t xml:space="preserve">AITE HOUSE — septembre 2026</t>
  </si>
  <si>
    <t xml:space="preserve">Environnement</t>
  </si>
  <si>
    <t xml:space="preserve">Recette</t>
  </si>
  <si>
    <t xml:space="preserve">Base de données</t>
  </si>
  <si>
    <t xml:space="preserve">Date de début</t>
  </si>
  <si>
    <t xml:space="preserve">Date de fin</t>
  </si>
  <si>
    <t xml:space="preserve">Testeur principal</t>
  </si>
  <si>
    <t xml:space="preserve">Responsable AITE</t>
  </si>
  <si>
    <t xml:space="preserve">Cellules sur fond jaune : à compléter. Saisir les résultats dans l'onglet « Cas de test ».</t>
  </si>
  <si>
    <t xml:space="preserve">AVANCEMENT GLOBAL</t>
  </si>
  <si>
    <t xml:space="preserve">AVANCEMENT PAR DOMAINE</t>
  </si>
  <si>
    <t xml:space="preserve">Statut</t>
  </si>
  <si>
    <t xml:space="preserve">Nombre</t>
  </si>
  <si>
    <t xml:space="preserve">Part</t>
  </si>
  <si>
    <t xml:space="preserve">Domaine</t>
  </si>
  <si>
    <t xml:space="preserve">Module</t>
  </si>
  <si>
    <t xml:space="preserve">Cas</t>
  </si>
  <si>
    <t xml:space="preserve">OK</t>
  </si>
  <si>
    <t xml:space="preserve">KO</t>
  </si>
  <si>
    <t xml:space="preserve">Reste à tester</t>
  </si>
  <si>
    <t xml:space="preserve">À tester</t>
  </si>
  <si>
    <t xml:space="preserve">Hébergement — chambres &amp; séjours</t>
  </si>
  <si>
    <t xml:space="preserve">aite_hotel_management</t>
  </si>
  <si>
    <t xml:space="preserve">Espaces &amp; prestations</t>
  </si>
  <si>
    <t xml:space="preserve">aite_slot_booking</t>
  </si>
  <si>
    <t xml:space="preserve">Réservation en ligne</t>
  </si>
  <si>
    <t xml:space="preserve">aite_website_booking</t>
  </si>
  <si>
    <t xml:space="preserve">Bloqué</t>
  </si>
  <si>
    <t xml:space="preserve">Point de vente &amp; caisse</t>
  </si>
  <si>
    <t xml:space="preserve">aite_pos_analytics</t>
  </si>
  <si>
    <t xml:space="preserve">Non applicable</t>
  </si>
  <si>
    <t xml:space="preserve">Note de chambre</t>
  </si>
  <si>
    <t xml:space="preserve">aite_hotel_pos_link</t>
  </si>
  <si>
    <t xml:space="preserve">TOTAL</t>
  </si>
  <si>
    <t xml:space="preserve">Crédit clients (ardoises)</t>
  </si>
  <si>
    <t xml:space="preserve">aite_pos_credit</t>
  </si>
  <si>
    <t xml:space="preserve">Fidélité</t>
  </si>
  <si>
    <t xml:space="preserve">aite_loyalty</t>
  </si>
  <si>
    <t xml:space="preserve">Taux de réussite (OK / testés)</t>
  </si>
  <si>
    <t xml:space="preserve">Stock &amp; inventaire</t>
  </si>
  <si>
    <t xml:space="preserve">aite_stock_dashboard</t>
  </si>
  <si>
    <t xml:space="preserve">Cas critiques en échec (bloquants)</t>
  </si>
  <si>
    <t xml:space="preserve">Achats &amp; fournisseurs</t>
  </si>
  <si>
    <t xml:space="preserve">aite_purchase_dashboard</t>
  </si>
  <si>
    <t xml:space="preserve">Pilotage — vue Direction</t>
  </si>
  <si>
    <t xml:space="preserve">aite_direction_dashboard</t>
  </si>
  <si>
    <t xml:space="preserve">Tableau de bord exécutif</t>
  </si>
  <si>
    <t xml:space="preserve">aite_exec_dashboard</t>
  </si>
  <si>
    <t xml:space="preserve">Jeu de démonstration</t>
  </si>
  <si>
    <t xml:space="preserve">aite_demo_data</t>
  </si>
  <si>
    <t xml:space="preserve">Transverse — sécurité, données, exploitation</t>
  </si>
  <si>
    <t xml:space="preserve">tous modules</t>
  </si>
  <si>
    <t xml:space="preserve">Taxe de séjour</t>
  </si>
  <si>
    <t xml:space="preserve">aite_city_tax</t>
  </si>
  <si>
    <t xml:space="preserve">Registre des clients &amp; statistiques</t>
  </si>
  <si>
    <t xml:space="preserve">aite_guest_registry</t>
  </si>
  <si>
    <t xml:space="preserve">Gouvernante, inspections &amp; maintenance</t>
  </si>
  <si>
    <t xml:space="preserve">aite_housekeeping</t>
  </si>
  <si>
    <t xml:space="preserve">ID</t>
  </si>
  <si>
    <t xml:space="preserve">Priorité</t>
  </si>
  <si>
    <t xml:space="preserve">Pré-requis</t>
  </si>
  <si>
    <t xml:space="preserve">Scénario</t>
  </si>
  <si>
    <t xml:space="preserve">Étapes</t>
  </si>
  <si>
    <t xml:space="preserve">Résultat attendu</t>
  </si>
  <si>
    <t xml:space="preserve">Testé par</t>
  </si>
  <si>
    <t xml:space="preserve">Date</t>
  </si>
  <si>
    <t xml:space="preserve">Anomalie / commentaire</t>
  </si>
  <si>
    <t xml:space="preserve">A01</t>
  </si>
  <si>
    <t xml:space="preserve">1 - Critique</t>
  </si>
  <si>
    <t xml:space="preserve">Base installée, 1 type de chambre créé</t>
  </si>
  <si>
    <t xml:space="preserve">Créer une chambre et la rendre réservable</t>
  </si>
  <si>
    <t xml:space="preserve">1. Hôtel → Configuration → Chambres → Créer.
2. Renseigner numéro, type, capacité, tarif de base en FCFA.
3. Enregistrer, puis ouvrir le planning.</t>
  </si>
  <si>
    <t xml:space="preserve">La chambre est enregistrée sans erreur et apparaît dans le planning, en statut Libre sur toute la période.</t>
  </si>
  <si>
    <t xml:space="preserve">A02</t>
  </si>
  <si>
    <t xml:space="preserve">Au moins 2 chambres disponibles</t>
  </si>
  <si>
    <t xml:space="preserve">Créer une réservation directe (walk-in)</t>
  </si>
  <si>
    <t xml:space="preserve">1. Hôtel → Réservations → Créer.
2. Sélectionner client, chambre, dates d'arrivée et de départ.
3. Confirmer la réservation.</t>
  </si>
  <si>
    <t xml:space="preserve">La réservation passe en statut Confirmée, le nombre de nuits et le montant total sont calculés automatiquement en FCFA.</t>
  </si>
  <si>
    <t xml:space="preserve">A03</t>
  </si>
  <si>
    <t xml:space="preserve">Une réservation confirmée existe sur la période</t>
  </si>
  <si>
    <t xml:space="preserve">Empêcher la double réservation d'une même chambre</t>
  </si>
  <si>
    <t xml:space="preserve">1. Créer une seconde réservation sur la même chambre avec des dates qui se chevauchent.
2. Tenter de confirmer.</t>
  </si>
  <si>
    <t xml:space="preserve">Le système refuse la confirmation ou signale explicitement le conflit ; la chambre n'est pas réservée deux fois.</t>
  </si>
  <si>
    <t xml:space="preserve">A04</t>
  </si>
  <si>
    <t xml:space="preserve">Réservation confirmée du jour</t>
  </si>
  <si>
    <t xml:space="preserve">Effectuer un check-in</t>
  </si>
  <si>
    <t xml:space="preserve">1. Ouvrir la réservation du jour.
2. Cliquer sur Check-in.</t>
  </si>
  <si>
    <t xml:space="preserve">Le statut passe à Arrivée / En cours, la chambre devient Occupée dans le planning, et le folio du séjour est créé.</t>
  </si>
  <si>
    <t xml:space="preserve">A05</t>
  </si>
  <si>
    <t xml:space="preserve">Séjour en cours avec folio ouvert</t>
  </si>
  <si>
    <t xml:space="preserve">Ajouter un extra au folio (petit-déjeuner)</t>
  </si>
  <si>
    <t xml:space="preserve">1. Ouvrir le folio du séjour.
2. Ajouter la ligne « Petit-déjeuner » × 2.
3. Enregistrer.</t>
  </si>
  <si>
    <t xml:space="preserve">La ligne s'ajoute avec sa date et son montant ; le total du folio est recalculé immédiatement.</t>
  </si>
  <si>
    <t xml:space="preserve">A06</t>
  </si>
  <si>
    <t xml:space="preserve">Séjour en cours, folio alimenté</t>
  </si>
  <si>
    <t xml:space="preserve">Effectuer un check-out et facturer le séjour</t>
  </si>
  <si>
    <t xml:space="preserve">1. Ouvrir la réservation.
2. Cliquer sur Check-out.
3. Générer la facture.</t>
  </si>
  <si>
    <t xml:space="preserve">Une facture unique reprend nuitées et extras, la chambre redevient Libre, et le séjour passe en statut Terminé.</t>
  </si>
  <si>
    <t xml:space="preserve">A07</t>
  </si>
  <si>
    <t xml:space="preserve">2 - Majeur</t>
  </si>
  <si>
    <t xml:space="preserve">Réservation confirmée, acompte prévu</t>
  </si>
  <si>
    <t xml:space="preserve">Enregistrer un acompte et le déduire à la facturation</t>
  </si>
  <si>
    <t xml:space="preserve">1. Saisir un acompte de 20 000 F sur la réservation.
2. Aller jusqu'au check-out et générer la facture.</t>
  </si>
  <si>
    <t xml:space="preserve">L'acompte apparaît sur le folio et est déduit du net à payer ; le solde restant dû est exact.</t>
  </si>
  <si>
    <t xml:space="preserve">A08</t>
  </si>
  <si>
    <t xml:space="preserve">Réservation confirmée</t>
  </si>
  <si>
    <t xml:space="preserve">Éditer une proforma avant le départ</t>
  </si>
  <si>
    <t xml:space="preserve">1. Ouvrir le séjour en cours.
2. Demander l'impression de la proforma.</t>
  </si>
  <si>
    <t xml:space="preserve">La proforma s'édite en PDF avec l'en-tête de l'établissement, les lignes du folio et les montants en FCFA.</t>
  </si>
  <si>
    <t xml:space="preserve">A09</t>
  </si>
  <si>
    <t xml:space="preserve">Plusieurs chambres, dont une en maintenance</t>
  </si>
  <si>
    <t xml:space="preserve">Déclarer une chambre hors service</t>
  </si>
  <si>
    <t xml:space="preserve">1. Passer une chambre en statut Hors service / Maintenance sur une période.
2. Consulter le planning.</t>
  </si>
  <si>
    <t xml:space="preserve">La chambre apparaît en Hors service sur la période et n'est plus proposée à la réservation.</t>
  </si>
  <si>
    <t xml:space="preserve">A10</t>
  </si>
  <si>
    <t xml:space="preserve">Journée avec arrivées, départs et présents</t>
  </si>
  <si>
    <t xml:space="preserve">Consulter la main courante du jour</t>
  </si>
  <si>
    <t xml:space="preserve">1. Ouvrir la main courante / photo du jour.</t>
  </si>
  <si>
    <t xml:space="preserve">Les compteurs Présents, Arrivées, Départs et Hors service correspondent exactement à la réalité du planning.</t>
  </si>
  <si>
    <t xml:space="preserve">A11</t>
  </si>
  <si>
    <t xml:space="preserve">Réservation confirmée non arrivée</t>
  </si>
  <si>
    <t xml:space="preserve">Annuler une réservation et gérer le no-show</t>
  </si>
  <si>
    <t xml:space="preserve">1. Annuler une réservation confirmée.
2. Marquer une autre en no-show.</t>
  </si>
  <si>
    <t xml:space="preserve">Les statuts sont mis à jour, les chambres se libèrent, et le motif reste consultable dans l'historique.</t>
  </si>
  <si>
    <t xml:space="preserve">A12</t>
  </si>
  <si>
    <t xml:space="preserve">Deux types de chambre avec tarifs différents</t>
  </si>
  <si>
    <t xml:space="preserve">Appliquer un tarif par type de chambre et par période</t>
  </si>
  <si>
    <t xml:space="preserve">1. Créer une réservation sur chaque type de chambre.
2. Comparer les montants calculés.</t>
  </si>
  <si>
    <t xml:space="preserve">Chaque réservation applique le tarif du type de chambre concerné ; les éventuelles listes de prix saisonnières sont respectées.</t>
  </si>
  <si>
    <t xml:space="preserve">A13</t>
  </si>
  <si>
    <t xml:space="preserve">3 - Mineur</t>
  </si>
  <si>
    <t xml:space="preserve">Séjour en cours</t>
  </si>
  <si>
    <t xml:space="preserve">Changer un client de chambre en cours de séjour</t>
  </si>
  <si>
    <t xml:space="preserve">1. Ouvrir le séjour.
2. Effectuer un transfert vers une autre chambre libre.</t>
  </si>
  <si>
    <t xml:space="preserve">Le folio suit le client sans perte de lignes ; les deux chambres ont un statut cohérent dans le planning.</t>
  </si>
  <si>
    <t xml:space="preserve">A14</t>
  </si>
  <si>
    <t xml:space="preserve">Plusieurs séjours facturés sur le mois</t>
  </si>
  <si>
    <t xml:space="preserve">Vérifier la ventilation comptable par type de prestation</t>
  </si>
  <si>
    <t xml:space="preserve">1. Comptabilité → journal des ventes.
2. Contrôler les écritures issues des factures de séjour.</t>
  </si>
  <si>
    <t xml:space="preserve">Hébergement, restauration et prestations sont ventilés sur des comptes distincts, conformément au paramétrage.</t>
  </si>
  <si>
    <t xml:space="preserve">B01</t>
  </si>
  <si>
    <t xml:space="preserve">Module installé</t>
  </si>
  <si>
    <t xml:space="preserve">Créer un espace réservable avec son tarif</t>
  </si>
  <si>
    <t xml:space="preserve">1. Créer l'espace « Salle de réunion » avec tarif horaire et capacité.
2. Enregistrer.</t>
  </si>
  <si>
    <t xml:space="preserve">L'espace est créé et apparaît dans le planning des ressources.</t>
  </si>
  <si>
    <t xml:space="preserve">B02</t>
  </si>
  <si>
    <t xml:space="preserve">Un espace créé</t>
  </si>
  <si>
    <t xml:space="preserve">Réserver un créneau pour un client externe</t>
  </si>
  <si>
    <t xml:space="preserve">1. Réserver la salle de 9 h à 12 h pour un client.
2. Confirmer.</t>
  </si>
  <si>
    <t xml:space="preserve">Le créneau apparaît occupé dans le planning et le montant est calculé selon la durée et le tarif.</t>
  </si>
  <si>
    <t xml:space="preserve">B03</t>
  </si>
  <si>
    <t xml:space="preserve">Un créneau déjà réservé</t>
  </si>
  <si>
    <t xml:space="preserve">Empêcher la double réservation d'un créneau</t>
  </si>
  <si>
    <t xml:space="preserve">1. Tenter de réserver le même espace sur un créneau qui chevauche.</t>
  </si>
  <si>
    <t xml:space="preserve">Le système refuse ou alerte explicitement ; aucun double engagement n'est enregistré.</t>
  </si>
  <si>
    <t xml:space="preserve">B04</t>
  </si>
  <si>
    <t xml:space="preserve">Séjour hôtel en cours</t>
  </si>
  <si>
    <t xml:space="preserve">Rattacher une prestation au folio d'une chambre</t>
  </si>
  <si>
    <t xml:space="preserve">1. Réserver la piscine pour un client résident.
2. Rattacher au séjour.
3. Ouvrir le folio.</t>
  </si>
  <si>
    <t xml:space="preserve">La prestation apparaît sur le folio de la chambre et sera facturée avec le séjour.</t>
  </si>
  <si>
    <t xml:space="preserve">B05</t>
  </si>
  <si>
    <t xml:space="preserve">Prestation réservée et payée</t>
  </si>
  <si>
    <t xml:space="preserve">Facturer une prestation seule</t>
  </si>
  <si>
    <t xml:space="preserve">1. Facturer une prestation à un client non résident.</t>
  </si>
  <si>
    <t xml:space="preserve">La facture est éditée en FCFA et l'écriture comptable est générée.</t>
  </si>
  <si>
    <t xml:space="preserve">B06</t>
  </si>
  <si>
    <t xml:space="preserve">Créneau réservé</t>
  </si>
  <si>
    <t xml:space="preserve">Annuler une réservation d'espace</t>
  </si>
  <si>
    <t xml:space="preserve">1. Annuler le créneau.
2. Consulter le planning.</t>
  </si>
  <si>
    <t xml:space="preserve">Le créneau redevient disponible ; l'acompte éventuel suit les conditions définies.</t>
  </si>
  <si>
    <t xml:space="preserve">B07</t>
  </si>
  <si>
    <t xml:space="preserve">Plusieurs espaces et créneaux sur le mois</t>
  </si>
  <si>
    <t xml:space="preserve">Mesurer le chiffre d'affaires par espace</t>
  </si>
  <si>
    <t xml:space="preserve">1. Ouvrir le récapitulatif par espace sur le mois.</t>
  </si>
  <si>
    <t xml:space="preserve">Le CA par espace et le taux d'occupation sont cohérents avec les réservations saisies.</t>
  </si>
  <si>
    <t xml:space="preserve">B08</t>
  </si>
  <si>
    <t xml:space="preserve">Espace avec tarifs multiples</t>
  </si>
  <si>
    <t xml:space="preserve">Appliquer les tarifs heure / demi-journée / journée</t>
  </si>
  <si>
    <t xml:space="preserve">1. Réserver successivement 1 h, une demi-journée et une journée.</t>
  </si>
  <si>
    <t xml:space="preserve">Le tarif appliqué correspond à la durée choisie pour chacune des trois réservations.</t>
  </si>
  <si>
    <t xml:space="preserve">C01</t>
  </si>
  <si>
    <t xml:space="preserve">Site web publié, chambres disponibles</t>
  </si>
  <si>
    <t xml:space="preserve">Rechercher une disponibilité depuis le site</t>
  </si>
  <si>
    <t xml:space="preserve">1. Ouvrir le site public.
2. Saisir des dates et un nombre de voyageurs.
3. Lancer la recherche.</t>
  </si>
  <si>
    <t xml:space="preserve">Seules les chambres réellement disponibles sont proposées, avec leur tarif en FCFA.</t>
  </si>
  <si>
    <t xml:space="preserve">C02</t>
  </si>
  <si>
    <t xml:space="preserve">Recherche effectuée</t>
  </si>
  <si>
    <t xml:space="preserve">Réserver en ligne avec acompte</t>
  </si>
  <si>
    <t xml:space="preserve">1. Choisir une chambre.
2. Renseigner les informations client.
3. Payer l'acompte en ligne.</t>
  </si>
  <si>
    <t xml:space="preserve">La réservation est confirmée, le client reçoit sa confirmation, et l'acompte est enregistré.</t>
  </si>
  <si>
    <t xml:space="preserve">C03</t>
  </si>
  <si>
    <t xml:space="preserve">Réservation en ligne confirmée</t>
  </si>
  <si>
    <t xml:space="preserve">Vérifier la retombée dans le planning de la réception</t>
  </si>
  <si>
    <t xml:space="preserve">1. Côté back-office, ouvrir le planning et la main courante.</t>
  </si>
  <si>
    <t xml:space="preserve">La réservation apparaît sans aucune ressaisie, avec le statut acompte reçu et les dates exactes.</t>
  </si>
  <si>
    <t xml:space="preserve">C04</t>
  </si>
  <si>
    <t xml:space="preserve">Une chambre unique disponible</t>
  </si>
  <si>
    <t xml:space="preserve">Gérer la concurrence entre deux réservations simultanées</t>
  </si>
  <si>
    <t xml:space="preserve">1. Lancer deux parcours de réservation en parallèle sur la même chambre.
2. Confirmer le premier, puis le second.</t>
  </si>
  <si>
    <t xml:space="preserve">La première confirmation bloque la chambre ; la seconde est refusée ou redirigée vers une alternative.</t>
  </si>
  <si>
    <t xml:space="preserve">C05</t>
  </si>
  <si>
    <t xml:space="preserve">Paramétrage d'acompte défini</t>
  </si>
  <si>
    <t xml:space="preserve">Contrôler le montant d'acompte appliqué</t>
  </si>
  <si>
    <t xml:space="preserve">1. Réserver et comparer l'acompte demandé au paramétrage (pourcentage ou montant fixe).</t>
  </si>
  <si>
    <t xml:space="preserve">L'acompte prélevé correspond exactement à la règle définie.</t>
  </si>
  <si>
    <t xml:space="preserve">C06</t>
  </si>
  <si>
    <t xml:space="preserve">Réservation en ligne effectuée</t>
  </si>
  <si>
    <t xml:space="preserve">Réceptionner le client à l'arrivée</t>
  </si>
  <si>
    <t xml:space="preserve">1. Faire le check-in de la réservation venue du web.</t>
  </si>
  <si>
    <t xml:space="preserve">Le séjour démarre normalement et l'acompte est déjà déduit du folio.</t>
  </si>
  <si>
    <t xml:space="preserve">C07</t>
  </si>
  <si>
    <t xml:space="preserve">Site en ligne</t>
  </si>
  <si>
    <t xml:space="preserve">Réserver depuis un téléphone</t>
  </si>
  <si>
    <t xml:space="preserve">1. Refaire le parcours complet sur smartphone.</t>
  </si>
  <si>
    <t xml:space="preserve">Le parcours est lisible et utilisable sur petit écran, sans débordement ni bouton inaccessible.</t>
  </si>
  <si>
    <t xml:space="preserve">C08</t>
  </si>
  <si>
    <t xml:space="preserve">Espaces ouverts à la réservation en ligne</t>
  </si>
  <si>
    <t xml:space="preserve">Réserver un espace depuis le site</t>
  </si>
  <si>
    <t xml:space="preserve">1. Réserver une salle ou un espace via le site public.</t>
  </si>
  <si>
    <t xml:space="preserve">Le créneau est bloqué dans le planning des ressources, avec acompte le cas échéant.</t>
  </si>
  <si>
    <t xml:space="preserve">D01</t>
  </si>
  <si>
    <t xml:space="preserve">Caisse configurée, produits en stock</t>
  </si>
  <si>
    <t xml:space="preserve">Ouvrir une session de caisse</t>
  </si>
  <si>
    <t xml:space="preserve">1. Point de Vente → Nouvelle session.
2. Saisir le fond de caisse.</t>
  </si>
  <si>
    <t xml:space="preserve">La session s'ouvre, le fond de caisse est enregistré et l'interface de vente s'affiche.</t>
  </si>
  <si>
    <t xml:space="preserve">D02</t>
  </si>
  <si>
    <t xml:space="preserve">Session ouverte</t>
  </si>
  <si>
    <t xml:space="preserve">Encaisser une vente en espèces</t>
  </si>
  <si>
    <t xml:space="preserve">1. Sélectionner 3 produits.
2. Paiement → Espèces.
3. Valider.</t>
  </si>
  <si>
    <t xml:space="preserve">Le total est correct en FCFA, le ticket est généré et la vente apparaît dans la liste des commandes.</t>
  </si>
  <si>
    <t xml:space="preserve">D03</t>
  </si>
  <si>
    <t xml:space="preserve">Encaisser en Mobile Money</t>
  </si>
  <si>
    <t xml:space="preserve">1. Réaliser une vente.
2. Payer via le mode Mobile Money.</t>
  </si>
  <si>
    <t xml:space="preserve">Le paiement est enregistré sur le bon journal et distinct des espèces dans le récapitulatif de session.</t>
  </si>
  <si>
    <t xml:space="preserve">D04</t>
  </si>
  <si>
    <t xml:space="preserve">Session ouverte avec ventes</t>
  </si>
  <si>
    <t xml:space="preserve">Clôturer la session et contrôler les écarts de caisse</t>
  </si>
  <si>
    <t xml:space="preserve">1. Clôturer la session.
2. Saisir le montant réellement compté.
3. Valider.</t>
  </si>
  <si>
    <t xml:space="preserve">L'écart entre théorique et compté est affiché, journalisé, et la session passe en statut Clôturée.</t>
  </si>
  <si>
    <t xml:space="preserve">D05</t>
  </si>
  <si>
    <t xml:space="preserve">Deux points de vente configurés (bar, boutique)</t>
  </si>
  <si>
    <t xml:space="preserve">Vérifier le cloisonnement des cartes par caisse</t>
  </si>
  <si>
    <t xml:space="preserve">1. Ouvrir successivement les deux caisses.
2. Comparer les produits affichés.</t>
  </si>
  <si>
    <t xml:space="preserve">Chaque caisse n'affiche que les produits de sa propre carte ; aucun produit de l'autre point de vente n'apparaît.</t>
  </si>
  <si>
    <t xml:space="preserve">D06</t>
  </si>
  <si>
    <t xml:space="preserve">Appliquer une remise et la tracer</t>
  </si>
  <si>
    <t xml:space="preserve">1. Appliquer une remise sur une ligne de ticket.
2. Encaisser.</t>
  </si>
  <si>
    <t xml:space="preserve">La remise est appliquée au bon montant, tracée avec le vendeur, et visible dans les analyses.</t>
  </si>
  <si>
    <t xml:space="preserve">D07</t>
  </si>
  <si>
    <t xml:space="preserve">Vente encaissée</t>
  </si>
  <si>
    <t xml:space="preserve">Imprimer un ticket de caisse</t>
  </si>
  <si>
    <t xml:space="preserve">1. Demander l'impression du ticket après paiement.</t>
  </si>
  <si>
    <t xml:space="preserve">Le ticket s'imprime (ou s'affiche pour impression) avec les lignes, le total et le mode de règlement.</t>
  </si>
  <si>
    <t xml:space="preserve">D08</t>
  </si>
  <si>
    <t xml:space="preserve">Session ouverte, connexion réseau active</t>
  </si>
  <si>
    <t xml:space="preserve">Encaisser hors connexion</t>
  </si>
  <si>
    <t xml:space="preserve">1. Couper la connexion réseau.
2. Encaisser 2 ventes.
3. Rétablir la connexion.</t>
  </si>
  <si>
    <t xml:space="preserve">Les ventes se poursuivent hors ligne puis se synchronisent sans perte ni doublon au retour du réseau.</t>
  </si>
  <si>
    <t xml:space="preserve">D09</t>
  </si>
  <si>
    <t xml:space="preserve">Ventes réalisées sur plusieurs jours et heures</t>
  </si>
  <si>
    <t xml:space="preserve">Consulter les analyses de ventes</t>
  </si>
  <si>
    <t xml:space="preserve">1. Ouvrir POS Analytics.
2. Filtrer par période et par caisse.</t>
  </si>
  <si>
    <t xml:space="preserve">Le CA, le nombre de tickets et le panier moyen correspondent aux ventes réelles de la période filtrée.</t>
  </si>
  <si>
    <t xml:space="preserve">D10</t>
  </si>
  <si>
    <t xml:space="preserve">Ventes sur plusieurs tranches horaires</t>
  </si>
  <si>
    <t xml:space="preserve">Vérifier la carte de chaleur jours × heures</t>
  </si>
  <si>
    <t xml:space="preserve">1. Ouvrir la heatmap des ventes.</t>
  </si>
  <si>
    <t xml:space="preserve">Les heures de forte activité correspondent aux ventes effectivement saisies ; aucune case aberrante.</t>
  </si>
  <si>
    <t xml:space="preserve">D11</t>
  </si>
  <si>
    <t xml:space="preserve">Produits avec prix d'achat renseignés</t>
  </si>
  <si>
    <t xml:space="preserve">Contrôler la marge et le coût des ventes</t>
  </si>
  <si>
    <t xml:space="preserve">1. Consulter les marges par produit et par catégorie.</t>
  </si>
  <si>
    <t xml:space="preserve">La marge affichée correspond à (prix de vente − coût) et le CMV est cohérent avec les ventes.</t>
  </si>
  <si>
    <t xml:space="preserve">D12</t>
  </si>
  <si>
    <t xml:space="preserve">Session avec plusieurs vendeurs</t>
  </si>
  <si>
    <t xml:space="preserve">Suivre les ventes par vendeur</t>
  </si>
  <si>
    <t xml:space="preserve">1. Filtrer les ventes par vendeur sur la session.</t>
  </si>
  <si>
    <t xml:space="preserve">Le détail par vendeur est exact et exploitable pour le suivi d'équipe.</t>
  </si>
  <si>
    <t xml:space="preserve">E01</t>
  </si>
  <si>
    <t xml:space="preserve">Un séjour en cours (chambre occupée), caisse ouverte</t>
  </si>
  <si>
    <t xml:space="preserve">Encaisser une consommation sur la note de chambre</t>
  </si>
  <si>
    <t xml:space="preserve">1. Au POS, composer un ticket.
2. Paiement → Note de chambre.
3. Sélectionner la chambre occupée.
4. Valider.</t>
  </si>
  <si>
    <t xml:space="preserve">Le paiement est accepté, le ticket mentionne la chambre, et aucun encaissement espèces n'est enregistré.</t>
  </si>
  <si>
    <t xml:space="preserve">E02</t>
  </si>
  <si>
    <t xml:space="preserve">Consommation reportée (cas E01)</t>
  </si>
  <si>
    <t xml:space="preserve">Vérifier l'alimentation du folio</t>
  </si>
  <si>
    <t xml:space="preserve">1. Ouvrir le folio de la chambre concernée.</t>
  </si>
  <si>
    <t xml:space="preserve">La consommation du bar apparaît, datée, au bon montant, identifiée par sa caisse d'origine.</t>
  </si>
  <si>
    <t xml:space="preserve">E03</t>
  </si>
  <si>
    <t xml:space="preserve">Aucune chambre occupée</t>
  </si>
  <si>
    <t xml:space="preserve">Empêcher un report sur une chambre libre</t>
  </si>
  <si>
    <t xml:space="preserve">1. Au POS, ouvrir la liste des chambres pour la note de chambre.</t>
  </si>
  <si>
    <t xml:space="preserve">Seules les chambres réellement occupées sont proposées ; une chambre libre ne peut pas recevoir de report.</t>
  </si>
  <si>
    <t xml:space="preserve">E04</t>
  </si>
  <si>
    <t xml:space="preserve">Folio alimenté par un report bar</t>
  </si>
  <si>
    <t xml:space="preserve">Facturer le séjour incluant le bar</t>
  </si>
  <si>
    <t xml:space="preserve">1. Effectuer le check-out.
2. Générer la facture.</t>
  </si>
  <si>
    <t xml:space="preserve">La facture unique comprend nuitées, extras et consommations du bar, avec un total exact.</t>
  </si>
  <si>
    <t xml:space="preserve">E05</t>
  </si>
  <si>
    <t xml:space="preserve">Report effectué</t>
  </si>
  <si>
    <t xml:space="preserve">Valider ou corriger un report côté réception</t>
  </si>
  <si>
    <t xml:space="preserve">1. Ouvrir la liste des reports en attente.
2. Valider l'un, corriger ou refuser l'autre.</t>
  </si>
  <si>
    <t xml:space="preserve">Le folio reflète la décision de la réception ; toute correction est tracée.</t>
  </si>
  <si>
    <t xml:space="preserve">E06</t>
  </si>
  <si>
    <t xml:space="preserve">Deux caisses actives, un séjour en cours</t>
  </si>
  <si>
    <t xml:space="preserve">Reporter depuis deux caisses différentes</t>
  </si>
  <si>
    <t xml:space="preserve">1. Reporter une consommation depuis chaque caisse.</t>
  </si>
  <si>
    <t xml:space="preserve">Les deux reports arrivent sur le même folio en conservant l'identification de leur caisse.</t>
  </si>
  <si>
    <t xml:space="preserve">E07</t>
  </si>
  <si>
    <t xml:space="preserve">Séjour avec reports facturés</t>
  </si>
  <si>
    <t xml:space="preserve">Contrôler la ventilation comptable du bar</t>
  </si>
  <si>
    <t xml:space="preserve">1. Consulter les écritures de la facture de séjour.</t>
  </si>
  <si>
    <t xml:space="preserve">Le chiffre d'affaires du bar est ventilé sur son propre compte, distinct de l'hébergement.</t>
  </si>
  <si>
    <t xml:space="preserve">E08</t>
  </si>
  <si>
    <t xml:space="preserve">Vérifier le comportement après départ du client</t>
  </si>
  <si>
    <t xml:space="preserve">1. Effectuer le check-out.
2. Tenter un report sur cette chambre.</t>
  </si>
  <si>
    <t xml:space="preserve">Le report est impossible sur un séjour clôturé ; un message clair est affiché.</t>
  </si>
  <si>
    <t xml:space="preserve">F01</t>
  </si>
  <si>
    <t xml:space="preserve">Module installé, client créé</t>
  </si>
  <si>
    <t xml:space="preserve">Définir un plafond de crédit client</t>
  </si>
  <si>
    <t xml:space="preserve">1. Ouvrir la fiche client.
2. Renseigner le plafond autorisé.
3. Enregistrer.</t>
  </si>
  <si>
    <t xml:space="preserve">Le plafond est enregistré et visible sur la fiche.</t>
  </si>
  <si>
    <t xml:space="preserve">F02</t>
  </si>
  <si>
    <t xml:space="preserve">Client avec plafond, session de caisse ouverte</t>
  </si>
  <si>
    <t xml:space="preserve">Accorder un crédit à la caisse</t>
  </si>
  <si>
    <t xml:space="preserve">1. Composer un ticket.
2. Paiement → Crédit.
3. Sélectionner le client.
4. Valider.</t>
  </si>
  <si>
    <t xml:space="preserve">La vente est enregistrée en crédit, l'encours du client augmente du montant exact.</t>
  </si>
  <si>
    <t xml:space="preserve">F03</t>
  </si>
  <si>
    <t xml:space="preserve">Client dont l'encours atteint le plafond</t>
  </si>
  <si>
    <t xml:space="preserve">Bloquer un crédit au-delà du plafond</t>
  </si>
  <si>
    <t xml:space="preserve">1. Tenter un nouveau crédit dépassant le plafond.</t>
  </si>
  <si>
    <t xml:space="preserve">Le système refuse ou alerte explicitement selon le paramétrage ; aucun dépassement silencieux.</t>
  </si>
  <si>
    <t xml:space="preserve">F04</t>
  </si>
  <si>
    <t xml:space="preserve">Client avec encours</t>
  </si>
  <si>
    <t xml:space="preserve">Enregistrer un remboursement partiel</t>
  </si>
  <si>
    <t xml:space="preserve">1. Saisir un remboursement inférieur à l'encours (espèces).</t>
  </si>
  <si>
    <t xml:space="preserve">L'encours diminue du montant exact ; le règlement est tracé avec sa date et son mode.</t>
  </si>
  <si>
    <t xml:space="preserve">F05</t>
  </si>
  <si>
    <t xml:space="preserve">Solder complètement une ardoise</t>
  </si>
  <si>
    <t xml:space="preserve">1. Enregistrer un remboursement égal au solde.</t>
  </si>
  <si>
    <t xml:space="preserve">L'encours passe à zéro et le client n'apparaît plus parmi les débiteurs.</t>
  </si>
  <si>
    <t xml:space="preserve">F06</t>
  </si>
  <si>
    <t xml:space="preserve">Plusieurs clients avec des crédits d'âges variés</t>
  </si>
  <si>
    <t xml:space="preserve">Contrôler la balance âgée</t>
  </si>
  <si>
    <t xml:space="preserve">1. Ouvrir le tableau de bord Crédit.
2. Examiner les tranches 0–30, 31–60, 61–90 et +90 jours.</t>
  </si>
  <si>
    <t xml:space="preserve">Chaque créance est classée dans la bonne tranche d'ancienneté et le total correspond à l'encours global.</t>
  </si>
  <si>
    <t xml:space="preserve">F07</t>
  </si>
  <si>
    <t xml:space="preserve">Encours réparti sur plusieurs clients</t>
  </si>
  <si>
    <t xml:space="preserve">Vérifier le top débiteurs</t>
  </si>
  <si>
    <t xml:space="preserve">1. Consulter la liste des principaux débiteurs.</t>
  </si>
  <si>
    <t xml:space="preserve">Le classement par montant est exact et l'ancienneté affichée correspond à la plus vieille créance.</t>
  </si>
  <si>
    <t xml:space="preserve">F08</t>
  </si>
  <si>
    <t xml:space="preserve">Remboursements du mois enregistrés</t>
  </si>
  <si>
    <t xml:space="preserve">Contrôler le taux de recouvrement et le flux net</t>
  </si>
  <si>
    <t xml:space="preserve">1. Consulter les indicateurs de recouvrement du mois.</t>
  </si>
  <si>
    <t xml:space="preserve">Recouvré, nouveaux crédits et flux net sont cohérents avec les mouvements saisis.</t>
  </si>
  <si>
    <t xml:space="preserve">F09</t>
  </si>
  <si>
    <t xml:space="preserve">Client avec crédit en cours</t>
  </si>
  <si>
    <t xml:space="preserve">Rembourser par Mobile Money</t>
  </si>
  <si>
    <t xml:space="preserve">1. Enregistrer un remboursement via Mobile Money.</t>
  </si>
  <si>
    <t xml:space="preserve">Le règlement est imputé au bon journal et distingué des espèces dans les états.</t>
  </si>
  <si>
    <t xml:space="preserve">F10</t>
  </si>
  <si>
    <t xml:space="preserve">Crédits accordés et remboursés</t>
  </si>
  <si>
    <t xml:space="preserve">Vérifier les écritures comptables du crédit</t>
  </si>
  <si>
    <t xml:space="preserve">1. Contrôler les écritures générées à l'octroi et au remboursement.</t>
  </si>
  <si>
    <t xml:space="preserve">Les comptes clients sont mouvementés correctement, sans écriture orpheline ni double comptabilisation.</t>
  </si>
  <si>
    <t xml:space="preserve">F11</t>
  </si>
  <si>
    <t xml:space="preserve">Plusieurs caisses accordant du crédit</t>
  </si>
  <si>
    <t xml:space="preserve">Suivre le crédit par caisse</t>
  </si>
  <si>
    <t xml:space="preserve">1. Filtrer l'encours par point de vente.</t>
  </si>
  <si>
    <t xml:space="preserve">La répartition par caisse est exacte et le total consolidé est conservé.</t>
  </si>
  <si>
    <t xml:space="preserve">F12</t>
  </si>
  <si>
    <t xml:space="preserve">Client débiteur de plus de 30 jours</t>
  </si>
  <si>
    <t xml:space="preserve">Éditer un relevé ou une relance client</t>
  </si>
  <si>
    <t xml:space="preserve">1. Générer le relevé de compte du client.</t>
  </si>
  <si>
    <t xml:space="preserve">Le document liste les créances avec leurs dates et le solde dû exact.</t>
  </si>
  <si>
    <t xml:space="preserve">G01</t>
  </si>
  <si>
    <t xml:space="preserve">Paramétrer le taux de points et les seuils VIP</t>
  </si>
  <si>
    <t xml:space="preserve">1. Paramètres → Fidélité.
2. Définir les points par 1 000 F et les seuils VIP / VVIP.
3. Enregistrer.</t>
  </si>
  <si>
    <t xml:space="preserve">Les règles sont enregistrées et reprises lors des calculs suivants.</t>
  </si>
  <si>
    <t xml:space="preserve">G02</t>
  </si>
  <si>
    <t xml:space="preserve">Règles définies, client identifié en caisse</t>
  </si>
  <si>
    <t xml:space="preserve">Cumuler des points sur une vente</t>
  </si>
  <si>
    <t xml:space="preserve">1. Encaisser une vente avec le client sélectionné.</t>
  </si>
  <si>
    <t xml:space="preserve">Les points crédités correspondent exactement au montant dépensé et au taux paramétré.</t>
  </si>
  <si>
    <t xml:space="preserve">G03</t>
  </si>
  <si>
    <t xml:space="preserve">Client proche du seuil VIP</t>
  </si>
  <si>
    <t xml:space="preserve">Déclencher le passage au niveau VIP</t>
  </si>
  <si>
    <t xml:space="preserve">1. Réaliser la vente qui fait franchir le seuil.
2. Consulter la fiche client.</t>
  </si>
  <si>
    <t xml:space="preserve">Le niveau passe automatiquement à VIP dès le seuil atteint.</t>
  </si>
  <si>
    <t xml:space="preserve">G04</t>
  </si>
  <si>
    <t xml:space="preserve">Client VIP proche du seuil VVIP</t>
  </si>
  <si>
    <t xml:space="preserve">Déclencher le passage VVIP</t>
  </si>
  <si>
    <t xml:space="preserve">1. Franchir le seuil de dépenses et de visites requis.</t>
  </si>
  <si>
    <t xml:space="preserve">Le niveau VVIP n'est attribué que si les deux conditions paramétrées sont remplies.</t>
  </si>
  <si>
    <t xml:space="preserve">G05</t>
  </si>
  <si>
    <t xml:space="preserve">Catégorie comptant double paramétrée</t>
  </si>
  <si>
    <t xml:space="preserve">Vérifier les catégories à points doublés</t>
  </si>
  <si>
    <t xml:space="preserve">1. Vendre un produit de la catégorie concernée.</t>
  </si>
  <si>
    <t xml:space="preserve">Les points crédités sont doublés uniquement pour cette catégorie.</t>
  </si>
  <si>
    <t xml:space="preserve">G06</t>
  </si>
  <si>
    <t xml:space="preserve">Clients avec points cumulés</t>
  </si>
  <si>
    <t xml:space="preserve">Consulter le classement des clients fidèles</t>
  </si>
  <si>
    <t xml:space="preserve">1. Ouvrir le classement des meilleurs clients.</t>
  </si>
  <si>
    <t xml:space="preserve">Les totaux de points et les niveaux affichés correspondent aux fiches clients.</t>
  </si>
  <si>
    <t xml:space="preserve">G07</t>
  </si>
  <si>
    <t xml:space="preserve">Client fidèle identifié</t>
  </si>
  <si>
    <t xml:space="preserve">Afficher le niveau du client au moment de l'encaissement</t>
  </si>
  <si>
    <t xml:space="preserve">1. Sélectionner le client au POS.</t>
  </si>
  <si>
    <t xml:space="preserve">Le niveau (VIP / VVIP) est visible par le caissier avant validation du paiement.</t>
  </si>
  <si>
    <t xml:space="preserve">G08</t>
  </si>
  <si>
    <t xml:space="preserve">Client sans fiche</t>
  </si>
  <si>
    <t xml:space="preserve">Vendre sans client identifié</t>
  </si>
  <si>
    <t xml:space="preserve">1. Encaisser une vente sans sélectionner de client.</t>
  </si>
  <si>
    <t xml:space="preserve">La vente aboutit normalement ; aucun point n'est attribué et aucune erreur n'est levée.</t>
  </si>
  <si>
    <t xml:space="preserve">H01</t>
  </si>
  <si>
    <t xml:space="preserve">Articles avec stock initial et prix d'achat</t>
  </si>
  <si>
    <t xml:space="preserve">Contrôler la valorisation du stock</t>
  </si>
  <si>
    <t xml:space="preserve">1. Ouvrir le tableau de bord Stock.</t>
  </si>
  <si>
    <t xml:space="preserve">Les valeurs au coût et au prix de vente correspondent aux quantités multipliées par les prix renseignés.</t>
  </si>
  <si>
    <t xml:space="preserve">H02</t>
  </si>
  <si>
    <t xml:space="preserve">Article avec seuil d'alerte défini</t>
  </si>
  <si>
    <t xml:space="preserve">Déclencher une alerte de rupture</t>
  </si>
  <si>
    <t xml:space="preserve">1. Vendre jusqu'à passer sous le seuil, puis jusqu'à zéro.
2. Consulter les alertes.</t>
  </si>
  <si>
    <t xml:space="preserve">L'article apparaît successivement en Sous seuil, Critique puis Rupture, selon les règles définies.</t>
  </si>
  <si>
    <t xml:space="preserve">H03</t>
  </si>
  <si>
    <t xml:space="preserve">Articles en alerte</t>
  </si>
  <si>
    <t xml:space="preserve">Vérifier les quantités suggérées à commander</t>
  </si>
  <si>
    <t xml:space="preserve">1. Consulter la colonne des quantités suggérées.</t>
  </si>
  <si>
    <t xml:space="preserve">La suggestion tient compte du seuil, de la consommation et du délai de réapprovisionnement.</t>
  </si>
  <si>
    <t xml:space="preserve">H04</t>
  </si>
  <si>
    <t xml:space="preserve">Stock théorique connu sur plusieurs articles</t>
  </si>
  <si>
    <t xml:space="preserve">Réaliser un inventaire tournant avec écarts</t>
  </si>
  <si>
    <t xml:space="preserve">1. Saisir un inventaire avec des quantités comptées différentes.
2. Valider.</t>
  </si>
  <si>
    <t xml:space="preserve">Les écarts sont calculés, valorisés, et le stock est ajusté après validation.</t>
  </si>
  <si>
    <t xml:space="preserve">H05</t>
  </si>
  <si>
    <t xml:space="preserve">Ventes et inventaires sur le mois</t>
  </si>
  <si>
    <t xml:space="preserve">Contrôler le calcul du coulage</t>
  </si>
  <si>
    <t xml:space="preserve">1. Consulter l'indicateur de coulage du mois.</t>
  </si>
  <si>
    <t xml:space="preserve">Le coulage correspond aux écarts constatés, et l'alerte se déclenche si le seuil défini est dépassé.</t>
  </si>
  <si>
    <t xml:space="preserve">H06</t>
  </si>
  <si>
    <t xml:space="preserve">Ventes régulières sur un article</t>
  </si>
  <si>
    <t xml:space="preserve">Vérifier la couverture de stock en jours</t>
  </si>
  <si>
    <t xml:space="preserve">1. Consulter la couverture affichée pour l'article.</t>
  </si>
  <si>
    <t xml:space="preserve">La couverture est cohérente avec le rythme de vente constaté.</t>
  </si>
  <si>
    <t xml:space="preserve">H07</t>
  </si>
  <si>
    <t xml:space="preserve">Article sans vente depuis plus de 30 jours</t>
  </si>
  <si>
    <t xml:space="preserve">Identifier les articles dormants</t>
  </si>
  <si>
    <t xml:space="preserve">1. Consulter la liste des articles dormants.</t>
  </si>
  <si>
    <t xml:space="preserve">L'article apparaît avec sa valeur immobilisée.</t>
  </si>
  <si>
    <t xml:space="preserve">H08</t>
  </si>
  <si>
    <t xml:space="preserve">Plusieurs dépôts configurés (cave, bar)</t>
  </si>
  <si>
    <t xml:space="preserve">Transférer du stock entre deux dépôts</t>
  </si>
  <si>
    <t xml:space="preserve">1. Effectuer un transfert cave → bar.
2. Contrôler les deux dépôts.</t>
  </si>
  <si>
    <t xml:space="preserve">Les quantités sont décrémentées et incrémentées correctement ; le mouvement est tracé.</t>
  </si>
  <si>
    <t xml:space="preserve">H09</t>
  </si>
  <si>
    <t xml:space="preserve">Ventes au POS sur des articles stockés</t>
  </si>
  <si>
    <t xml:space="preserve">Vérifier la décrémentation automatique du stock</t>
  </si>
  <si>
    <t xml:space="preserve">1. Vendre un article au POS.
2. Contrôler son stock.</t>
  </si>
  <si>
    <t xml:space="preserve">Le stock diminue de la quantité vendue, sans décalage ni double décrémentation.</t>
  </si>
  <si>
    <t xml:space="preserve">I01</t>
  </si>
  <si>
    <t xml:space="preserve">Fournisseur créé, articles référencés</t>
  </si>
  <si>
    <t xml:space="preserve">Créer un bon de commande fournisseur</t>
  </si>
  <si>
    <t xml:space="preserve">1. Achats → Créer une commande.
2. Ajouter les articles et les quantités.
3. Confirmer.</t>
  </si>
  <si>
    <t xml:space="preserve">La commande est confirmée avec un montant total exact en FCFA.</t>
  </si>
  <si>
    <t xml:space="preserve">I02</t>
  </si>
  <si>
    <t xml:space="preserve">Commande fournisseur confirmée</t>
  </si>
  <si>
    <t xml:space="preserve">Réceptionner une commande complète</t>
  </si>
  <si>
    <t xml:space="preserve">1. Valider la réception des quantités commandées.</t>
  </si>
  <si>
    <t xml:space="preserve">Le stock est mis à jour et la commande passe au statut reçu.</t>
  </si>
  <si>
    <t xml:space="preserve">I03</t>
  </si>
  <si>
    <t xml:space="preserve">Réceptionner partiellement une commande</t>
  </si>
  <si>
    <t xml:space="preserve">1. Réceptionner une quantité inférieure à la commande.</t>
  </si>
  <si>
    <t xml:space="preserve">L'écart est visible, le reliquat reste attendu, et le stock n'augmente que des quantités réellement reçues.</t>
  </si>
  <si>
    <t xml:space="preserve">I04</t>
  </si>
  <si>
    <t xml:space="preserve">Réception effectuée</t>
  </si>
  <si>
    <t xml:space="preserve">Enregistrer la facture fournisseur et son échéance</t>
  </si>
  <si>
    <t xml:space="preserve">1. Créer la facture depuis la réception.
2. Renseigner l'échéance.</t>
  </si>
  <si>
    <t xml:space="preserve">La facture est rattachée à la commande et apparaît dans l'échéancier à la bonne semaine.</t>
  </si>
  <si>
    <t xml:space="preserve">I05</t>
  </si>
  <si>
    <t xml:space="preserve">Factures fournisseurs à diverses échéances</t>
  </si>
  <si>
    <t xml:space="preserve">Contrôler l'échéancier fournisseurs</t>
  </si>
  <si>
    <t xml:space="preserve">1. Ouvrir le tableau de bord Achats.</t>
  </si>
  <si>
    <t xml:space="preserve">Les montants échus et à venir sont classés correctement par semaine ; le total correspond aux dettes réelles.</t>
  </si>
  <si>
    <t xml:space="preserve">I06</t>
  </si>
  <si>
    <t xml:space="preserve">Historique de prix d'achat sur un article</t>
  </si>
  <si>
    <t xml:space="preserve">Détecter une hausse de prix à la réception</t>
  </si>
  <si>
    <t xml:space="preserve">1. Réceptionner le même article à un prix supérieur.</t>
  </si>
  <si>
    <t xml:space="preserve">La variation est détectée et signalée avec l'ancien et le nouveau prix.</t>
  </si>
  <si>
    <t xml:space="preserve">I07</t>
  </si>
  <si>
    <t xml:space="preserve">Plusieurs réceptions avec retards</t>
  </si>
  <si>
    <t xml:space="preserve">Calculer la ponctualité fournisseur (OTIF)</t>
  </si>
  <si>
    <t xml:space="preserve">1. Consulter l'indicateur OTIF.</t>
  </si>
  <si>
    <t xml:space="preserve">Le taux reflète les livraisons complètes et à l'heure sur la période.</t>
  </si>
  <si>
    <t xml:space="preserve">I08</t>
  </si>
  <si>
    <t xml:space="preserve">Consignes de casiers en cours</t>
  </si>
  <si>
    <t xml:space="preserve">Suivre les consignes fournisseurs</t>
  </si>
  <si>
    <t xml:space="preserve">1. Consulter l'encours des consignes.</t>
  </si>
  <si>
    <t xml:space="preserve">Le montant des consignes à rendre est exact et évolue avec les retours.</t>
  </si>
  <si>
    <t xml:space="preserve">J01</t>
  </si>
  <si>
    <t xml:space="preserve">Données de ventes, crédit, stock et achats présentes</t>
  </si>
  <si>
    <t xml:space="preserve">Ouvrir la vue Direction sans erreur</t>
  </si>
  <si>
    <t xml:space="preserve">1. Menu Direction → Vue consolidée.
2. Ouvrir la console du navigateur (F12).</t>
  </si>
  <si>
    <t xml:space="preserve">L'écran s'affiche entièrement, sans erreur JavaScript en console, et tous les onglets sont accessibles.</t>
  </si>
  <si>
    <t xml:space="preserve">J02</t>
  </si>
  <si>
    <t xml:space="preserve">Ventes sur plusieurs périodes</t>
  </si>
  <si>
    <t xml:space="preserve">Filtrer par période</t>
  </si>
  <si>
    <t xml:space="preserve">1. Appliquer successivement Aujourd'hui, Cette semaine, Ce mois et une période personnalisée.</t>
  </si>
  <si>
    <t xml:space="preserve">Les indicateurs se recalculent à chaque changement et correspondent aux ventes de la période choisie.</t>
  </si>
  <si>
    <t xml:space="preserve">J03</t>
  </si>
  <si>
    <t xml:space="preserve">Deux caisses avec des ventes distinctes</t>
  </si>
  <si>
    <t xml:space="preserve">Filtrer par caisse</t>
  </si>
  <si>
    <t xml:space="preserve">1. Sélectionner une seule caisse, puis toutes.</t>
  </si>
  <si>
    <t xml:space="preserve">Les chiffres filtrés correspondent à la caisse sélectionnée ; le total consolidé est retrouvé sans filtre.</t>
  </si>
  <si>
    <t xml:space="preserve">J04</t>
  </si>
  <si>
    <t xml:space="preserve">Ventes réparties sur la journée</t>
  </si>
  <si>
    <t xml:space="preserve">Filtrer par tranche horaire et par jour</t>
  </si>
  <si>
    <t xml:space="preserve">1. Appliquer une tranche (soir) puis un jour de la semaine.</t>
  </si>
  <si>
    <t xml:space="preserve">Seules les ventes de la tranche ou du jour sélectionné sont prises en compte.</t>
  </si>
  <si>
    <t xml:space="preserve">J05</t>
  </si>
  <si>
    <t xml:space="preserve">Ardoises en retard et coulage constaté</t>
  </si>
  <si>
    <t xml:space="preserve">Vérifier le calcul du cash à risque</t>
  </si>
  <si>
    <t xml:space="preserve">1. Relever la valeur affichée.
2. La comparer à la somme des ardoises de plus de 30 jours et du coulage estimé.</t>
  </si>
  <si>
    <t xml:space="preserve">La valeur affichée correspond au calcul attendu et n'est jamais négative.</t>
  </si>
  <si>
    <t xml:space="preserve">J06</t>
  </si>
  <si>
    <t xml:space="preserve">Encours clients et dettes fournisseurs connus</t>
  </si>
  <si>
    <t xml:space="preserve">Vérifier le solde crédits − dettes</t>
  </si>
  <si>
    <t xml:space="preserve">1. Relever l'indicateur et le comparer aux tableaux de bord Crédit et Achats.</t>
  </si>
  <si>
    <t xml:space="preserve">Le solde correspond exactement à la différence entre les deux encours.</t>
  </si>
  <si>
    <t xml:space="preserve">J07</t>
  </si>
  <si>
    <t xml:space="preserve">Données sur plusieurs semaines</t>
  </si>
  <si>
    <t xml:space="preserve">Contrôler la cohérence des tendances</t>
  </si>
  <si>
    <t xml:space="preserve">1. Comparer la courbe de tendance aux chiffres détaillés.</t>
  </si>
  <si>
    <t xml:space="preserve">La tendance et le pourcentage d'évolution reflètent les données réelles de la période.</t>
  </si>
  <si>
    <t xml:space="preserve">J08</t>
  </si>
  <si>
    <t xml:space="preserve">Situations à traiter présentes (retards, ruptures)</t>
  </si>
  <si>
    <t xml:space="preserve">Vérifier la liste d'actions « À traiter »</t>
  </si>
  <si>
    <t xml:space="preserve">1. Ouvrir l'onglet À traiter.</t>
  </si>
  <si>
    <t xml:space="preserve">Les actions proposées (relancer, payer, commander) correspondent à des situations réelles et sont priorisées.</t>
  </si>
  <si>
    <t xml:space="preserve">J09</t>
  </si>
  <si>
    <t xml:space="preserve">Vue Direction ouverte</t>
  </si>
  <si>
    <t xml:space="preserve">Naviguer du chiffre vers le détail</t>
  </si>
  <si>
    <t xml:space="preserve">1. Cliquer sur un indicateur pour ouvrir le tableau de bord spécialisé.</t>
  </si>
  <si>
    <t xml:space="preserve">L'écran détaillé s'ouvre sur le bon périmètre, avec des chiffres cohérents avec le cockpit.</t>
  </si>
  <si>
    <t xml:space="preserve">J10</t>
  </si>
  <si>
    <t xml:space="preserve">Écran affiché sur un poste de travail</t>
  </si>
  <si>
    <t xml:space="preserve">Vérifier le défilement et l'affichage</t>
  </si>
  <si>
    <t xml:space="preserve">1. Faire défiler la page jusqu'en bas sur chaque onglet.</t>
  </si>
  <si>
    <t xml:space="preserve">Le contenu défile correctement, les filtres restent visibles, aucun bloc n'est coupé.</t>
  </si>
  <si>
    <t xml:space="preserve">K01</t>
  </si>
  <si>
    <t xml:space="preserve">Activité hôtelière enregistrée</t>
  </si>
  <si>
    <t xml:space="preserve">Ouvrir le tableau de bord exécutif</t>
  </si>
  <si>
    <t xml:space="preserve">1. Ouvrir le tableau de bord.
2. Contrôler la console (F12).</t>
  </si>
  <si>
    <t xml:space="preserve">L'écran s'affiche sans erreur et les indicateurs sont renseignés.</t>
  </si>
  <si>
    <t xml:space="preserve">K02</t>
  </si>
  <si>
    <t xml:space="preserve">Séjours et réservations sur la période</t>
  </si>
  <si>
    <t xml:space="preserve">Contrôler les indicateurs d'occupation</t>
  </si>
  <si>
    <t xml:space="preserve">1. Comparer le taux d'occupation affiché au planning réel.</t>
  </si>
  <si>
    <t xml:space="preserve">Le taux et le nombre de nuitées correspondent aux séjours enregistrés.</t>
  </si>
  <si>
    <t xml:space="preserve">K03</t>
  </si>
  <si>
    <t xml:space="preserve">Plusieurs périodes disponibles</t>
  </si>
  <si>
    <t xml:space="preserve">Filtrer la période du tableau de bord</t>
  </si>
  <si>
    <t xml:space="preserve">1. Changer la période analysée.</t>
  </si>
  <si>
    <t xml:space="preserve">Les indicateurs se recalculent de façon cohérente.</t>
  </si>
  <si>
    <t xml:space="preserve">K04</t>
  </si>
  <si>
    <t xml:space="preserve">Données hôtel et bar présentes</t>
  </si>
  <si>
    <t xml:space="preserve">Vérifier la cohérence avec la vue Direction</t>
  </si>
  <si>
    <t xml:space="preserve">1. Comparer les chiffres communs aux deux écrans.</t>
  </si>
  <si>
    <t xml:space="preserve">Les valeurs communes sont identiques d'un écran à l'autre.</t>
  </si>
  <si>
    <t xml:space="preserve">L01</t>
  </si>
  <si>
    <t xml:space="preserve">Base vierge dédiée à la démonstration</t>
  </si>
  <si>
    <t xml:space="preserve">Installer le jeu de démonstration</t>
  </si>
  <si>
    <t xml:space="preserve">1. Installer aite_demo_data sur une base de test.</t>
  </si>
  <si>
    <t xml:space="preserve">L'installation aboutit sans erreur et charge un établissement complet (chambres, produits, clients, historique).</t>
  </si>
  <si>
    <t xml:space="preserve">L02</t>
  </si>
  <si>
    <t xml:space="preserve">Jeu de démonstration installé</t>
  </si>
  <si>
    <t xml:space="preserve">Vérifier que tous les écrans sont alimentés</t>
  </si>
  <si>
    <t xml:space="preserve">1. Parcourir planning, caisse, crédit, fidélité, stock, achats et Direction.</t>
  </si>
  <si>
    <t xml:space="preserve">Chaque écran présente des données réalistes, en FCFA, sans zone vide.</t>
  </si>
  <si>
    <t xml:space="preserve">L03</t>
  </si>
  <si>
    <t xml:space="preserve">Base de production</t>
  </si>
  <si>
    <t xml:space="preserve">Vérifier l'absence de données de démonstration en production</t>
  </si>
  <si>
    <t xml:space="preserve">1. Contrôler que le module n'est pas installé sur la base de production.</t>
  </si>
  <si>
    <t xml:space="preserve">Aucune donnée fictive n'apparaît dans l'environnement réel.</t>
  </si>
  <si>
    <t xml:space="preserve">M01</t>
  </si>
  <si>
    <t xml:space="preserve">Les 12 modules déposés sur le serveur</t>
  </si>
  <si>
    <t xml:space="preserve">Installer la suite complète dans l'ordre prévu</t>
  </si>
  <si>
    <t xml:space="preserve">1. Suivre la procédure d'installation du fichier INSTALLATION.md.
2. Installer les modules dans l'ordre indiqué.</t>
  </si>
  <si>
    <t xml:space="preserve">Tous les modules s'installent sans erreur ; aucun message d'échec dans le log Odoo.</t>
  </si>
  <si>
    <t xml:space="preserve">M02</t>
  </si>
  <si>
    <t xml:space="preserve">Suite installée</t>
  </si>
  <si>
    <t xml:space="preserve">Ouvrir l'écran Paramètres en entier</t>
  </si>
  <si>
    <t xml:space="preserve">1. Paramètres → faire défiler jusqu'en bas.</t>
  </si>
  <si>
    <t xml:space="preserve">L'écran s'affiche complètement, toutes les sections AITE sont présentes, sans erreur « field is undefined ».</t>
  </si>
  <si>
    <t xml:space="preserve">M03</t>
  </si>
  <si>
    <t xml:space="preserve">Profils utilisateurs créés (serveur, gérant)</t>
  </si>
  <si>
    <t xml:space="preserve">Vérifier le cloisonnement des droits</t>
  </si>
  <si>
    <t xml:space="preserve">1. Se connecter en profil serveur, puis en profil gérant.</t>
  </si>
  <si>
    <t xml:space="preserve">Le serveur n'accède ni aux marges ni aux tableaux de bord de direction ; le gérant accède à l'ensemble.</t>
  </si>
  <si>
    <t xml:space="preserve">M04</t>
  </si>
  <si>
    <t xml:space="preserve">Société configurée en FCFA</t>
  </si>
  <si>
    <t xml:space="preserve">Contrôler la devise et les arrondis</t>
  </si>
  <si>
    <t xml:space="preserve">1. Vérifier les montants sur un ticket, une facture et un tableau de bord.</t>
  </si>
  <si>
    <t xml:space="preserve">Tous les montants sont en FCFA, sans décimale parasite ni erreur d'arrondi.</t>
  </si>
  <si>
    <t xml:space="preserve">M05</t>
  </si>
  <si>
    <t xml:space="preserve">Suite installée et utilisée</t>
  </si>
  <si>
    <t xml:space="preserve">Redémarrer le serveur et recharger l'application</t>
  </si>
  <si>
    <t xml:space="preserve">1. Redémarrer le service Odoo.
2. Ctrl+Shift+R dans le navigateur.</t>
  </si>
  <si>
    <t xml:space="preserve">Aucune régression après redémarrage ; les écrans se rechargent normalement.</t>
  </si>
  <si>
    <t xml:space="preserve">M06</t>
  </si>
  <si>
    <t xml:space="preserve">Données réelles d'un mois d'activité</t>
  </si>
  <si>
    <t xml:space="preserve">Vérifier les temps de réponse</t>
  </si>
  <si>
    <t xml:space="preserve">1. Ouvrir les principaux tableaux de bord sur un mois complet.</t>
  </si>
  <si>
    <t xml:space="preserve">Chaque écran s'affiche en moins de 5 secondes dans des conditions normales d'exploitation.</t>
  </si>
  <si>
    <t xml:space="preserve">M07</t>
  </si>
  <si>
    <t xml:space="preserve">Base de production active</t>
  </si>
  <si>
    <t xml:space="preserve">Vérifier la sauvegarde et la restauration</t>
  </si>
  <si>
    <t xml:space="preserve">1. Réaliser une sauvegarde.
2. La restaurer sur une base de test.</t>
  </si>
  <si>
    <t xml:space="preserve">La restauration aboutit et les données sont intègres et complètes.</t>
  </si>
  <si>
    <t xml:space="preserve">M08</t>
  </si>
  <si>
    <t xml:space="preserve">Tableaux de bord alimentés</t>
  </si>
  <si>
    <t xml:space="preserve">Exporter des données en Excel et PDF</t>
  </si>
  <si>
    <t xml:space="preserve">1. Exporter une liste et un tableau de bord.</t>
  </si>
  <si>
    <t xml:space="preserve">Les exports s'ouvrent correctement et contiennent les données affichées à l'écran.</t>
  </si>
  <si>
    <t xml:space="preserve">M09</t>
  </si>
  <si>
    <t xml:space="preserve">Utilisateur sur poste et sur tablette</t>
  </si>
  <si>
    <t xml:space="preserve">Vérifier l'usage sur tablette</t>
  </si>
  <si>
    <t xml:space="preserve">1. Ouvrir la caisse et les principaux écrans sur tablette.</t>
  </si>
  <si>
    <t xml:space="preserve">Les écrans sont utilisables au doigt, sans élément inaccessible.</t>
  </si>
  <si>
    <t xml:space="preserve">M10</t>
  </si>
  <si>
    <t xml:space="preserve">Un module mis à jour</t>
  </si>
  <si>
    <t xml:space="preserve">Mettre à niveau un module sans perte de données</t>
  </si>
  <si>
    <t xml:space="preserve">1. Remplacer le dossier d'un module.
2. Apps → Mettre à niveau.
3. Contrôler les données existantes.</t>
  </si>
  <si>
    <t xml:space="preserve">La mise à niveau aboutit et aucune donnée antérieure n'est perdue ni altérée.</t>
  </si>
  <si>
    <t xml:space="preserve">N01</t>
  </si>
  <si>
    <t xml:space="preserve">Hôtel avec pays et catégorie (étoiles) renseignés</t>
  </si>
  <si>
    <t xml:space="preserve">Vérifier le barème appliqué sur la fiche hôtel</t>
  </si>
  <si>
    <t xml:space="preserve">1. Ouvrir la fiche de l'hôtel → onglet Taxe de séjour.</t>
  </si>
  <si>
    <t xml:space="preserve">Le barème du pays et de la catégorie s'affiche (ex. Cameroun 3 ★ : 3 000 F) avec une phrase expliquant ce qui sera facturé.</t>
  </si>
  <si>
    <t xml:space="preserve">N02</t>
  </si>
  <si>
    <t xml:space="preserve">Réservation 2 nuits, 2 adultes, hôtel 3 ★ Cameroun</t>
  </si>
  <si>
    <t xml:space="preserve">Taxe ajoutée automatiquement à la confirmation</t>
  </si>
  <si>
    <t xml:space="preserve">1. Confirmer la réservation.
2. Ouvrir le folio.</t>
  </si>
  <si>
    <t xml:space="preserve">Une ligne « Taxe de séjour » apparaît sans saisie : 4 nuitées × 3 000 F = 12 000 F, sans TVA ; le total « Services » ne l'inclut pas.</t>
  </si>
  <si>
    <t xml:space="preserve">N03</t>
  </si>
  <si>
    <t xml:space="preserve">Folio ouvert avec taxe</t>
  </si>
  <si>
    <t xml:space="preserve">Recalcul si le séjour change</t>
  </si>
  <si>
    <t xml:space="preserve">1. Prolonger le séjour d'une nuit.
2. Ajouter un adulte.
3. Changer la catégorie de l'hôtel (4 ★) puis revenir.</t>
  </si>
  <si>
    <t xml:space="preserve">La ligne est recalculée à chaque changement ; une seule ligne de taxe subsiste ; le montant suit le barème.</t>
  </si>
  <si>
    <t xml:space="preserve">N04</t>
  </si>
  <si>
    <t xml:space="preserve">Séjour facturé</t>
  </si>
  <si>
    <t xml:space="preserve">Gel après facturation</t>
  </si>
  <si>
    <t xml:space="preserve">1. Facturer le folio.
2. Modifier la catégorie de l'hôtel.</t>
  </si>
  <si>
    <t xml:space="preserve">La facture porte la ligne de taxe sans TVA ; le folio facturé n'est plus recalculé.</t>
  </si>
  <si>
    <t xml:space="preserve">N05</t>
  </si>
  <si>
    <t xml:space="preserve">Plusieurs séjours terminés sur le mois</t>
  </si>
  <si>
    <t xml:space="preserve">État mensuel à déclarer</t>
  </si>
  <si>
    <t xml:space="preserve">1. Facturation → Taxe de séjour.
2. Regrouper par mois.</t>
  </si>
  <si>
    <t xml:space="preserve">Le tableau donne, par mois et par hôtel, les nuitées taxées et le montant collecté ; le total correspond aux folios ; export Excel OK.</t>
  </si>
  <si>
    <t xml:space="preserve">N06</t>
  </si>
  <si>
    <t xml:space="preserve">Hôtel exonéré</t>
  </si>
  <si>
    <t xml:space="preserve">Désactiver la collecte</t>
  </si>
  <si>
    <t xml:space="preserve">1. Décocher « Collecter la taxe de séjour » sur l'hôtel.</t>
  </si>
  <si>
    <t xml:space="preserve">Les folios ouverts perdent leur ligne de taxe ; les facturés ne bougent pas ; l'onglet affiche « désactivée ».</t>
  </si>
  <si>
    <t xml:space="preserve">N07</t>
  </si>
  <si>
    <t xml:space="preserve">Pays sans barème (ex. Tchad)</t>
  </si>
  <si>
    <t xml:space="preserve">Message guidant vers la configuration</t>
  </si>
  <si>
    <t xml:space="preserve">1. Créer un hôtel dans un pays non couvert.</t>
  </si>
  <si>
    <t xml:space="preserve">Aucune taxe appliquée ; l'onglet indique où ajouter le barème ; l'ajout d'un barème l'active.</t>
  </si>
  <si>
    <t xml:space="preserve">N08</t>
  </si>
  <si>
    <t xml:space="preserve">Nouvelle loi de finances</t>
  </si>
  <si>
    <t xml:space="preserve">Modifier un montant de barème</t>
  </si>
  <si>
    <t xml:space="preserve">1. Configuration → Barèmes → changer un montant.
2. Confirmer une nouvelle réservation.</t>
  </si>
  <si>
    <t xml:space="preserve">Le nouveau montant s'applique aux nouveaux folios ; l'ancien reste sur les folios facturés.</t>
  </si>
  <si>
    <t xml:space="preserve">O01</t>
  </si>
  <si>
    <t xml:space="preserve">Client avec pièce et nationalité sur sa fiche contact</t>
  </si>
  <si>
    <t xml:space="preserve">Fiche créée et pré-remplie au check-in</t>
  </si>
  <si>
    <t xml:space="preserve">1. Faire le check-in.
2. Observer la réservation.</t>
  </si>
  <si>
    <t xml:space="preserve">Une fiche d'enregistrement existe pour le client principal, pré-remplie (nom, pièce, nationalité, dates) ; un bandeau indique ce qu'il reste à faire ; bouton « Fiches clients x/y ».</t>
  </si>
  <si>
    <t xml:space="preserve">O02</t>
  </si>
  <si>
    <t xml:space="preserve">Fiche pré-remplie incomplète</t>
  </si>
  <si>
    <t xml:space="preserve">Compléter la fiche jusqu'à « Complète »</t>
  </si>
  <si>
    <t xml:space="preserve">1. Cliquer « compléter maintenant ».
2. Renseigner la date de naissance.</t>
  </si>
  <si>
    <t xml:space="preserve">La colonne « Il manque » disparaît et la fiche passe « Complète » sans bouton ; le bandeau devient vert quand tous les occupants sont enregistrés.</t>
  </si>
  <si>
    <t xml:space="preserve">O03</t>
  </si>
  <si>
    <t xml:space="preserve">Séjour à 2 occupants</t>
  </si>
  <si>
    <t xml:space="preserve">Ajouter un accompagnant</t>
  </si>
  <si>
    <t xml:space="preserve">1. Dans la fenêtre Fiches clients, ajouter une ligne pour l'accompagnant (étranger).</t>
  </si>
  <si>
    <t xml:space="preserve">La fiche est complète d'emblée ; « Registre à jour 2/2 » ; le non-résident est identifié.</t>
  </si>
  <si>
    <t xml:space="preserve">O04</t>
  </si>
  <si>
    <t xml:space="preserve">Fiche complète</t>
  </si>
  <si>
    <t xml:space="preserve">Imprimer la fiche d'enregistrement</t>
  </si>
  <si>
    <t xml:space="preserve">1. Cliquer l'icône imprimante (ou Imprimer la fiche).</t>
  </si>
  <si>
    <t xml:space="preserve">PDF avec identité, pièce, séjour, chambre, cases de signature client et établissement.</t>
  </si>
  <si>
    <t xml:space="preserve">O05</t>
  </si>
  <si>
    <t xml:space="preserve">Plusieurs séjours sur une semaine</t>
  </si>
  <si>
    <t xml:space="preserve">Imprimer le registre de police sur une période</t>
  </si>
  <si>
    <t xml:space="preserve">1. Facturation → Registre de police (impression).
2. Choisir les dates.
3. Imprimer.</t>
  </si>
  <si>
    <t xml:space="preserve">Le registre liste chronologiquement toutes les personnes hébergées sur la période (A4 paysage) ; une période vide affiche un message clair.</t>
  </si>
  <si>
    <t xml:space="preserve">O06</t>
  </si>
  <si>
    <t xml:space="preserve">Fiches complètes sur plusieurs mois</t>
  </si>
  <si>
    <t xml:space="preserve">Statistiques d'hébergement</t>
  </si>
  <si>
    <t xml:space="preserve">1. Facturation → Statistiques d'hébergement.
2. Regrouper par nationalité, puis par motif.</t>
  </si>
  <si>
    <t xml:space="preserve">Arrivées, nuitées, résidents / non-résidents et répartitions correspondent aux fiches des clients arrivés ; export Excel.</t>
  </si>
  <si>
    <t xml:space="preserve">O07</t>
  </si>
  <si>
    <t xml:space="preserve">Accompagnant sans fiche contact</t>
  </si>
  <si>
    <t xml:space="preserve">Mémoriser la pièce sur le contact</t>
  </si>
  <si>
    <t xml:space="preserve">1. Lier un contact à la fiche.
2. « Mémoriser sur la fiche client ».</t>
  </si>
  <si>
    <t xml:space="preserve">Le contact porte désormais pièce et nationalité : la prochaine réservation sera pré-remplie.</t>
  </si>
  <si>
    <t xml:space="preserve">O08</t>
  </si>
  <si>
    <t xml:space="preserve">Utilisateur Gouvernante</t>
  </si>
  <si>
    <t xml:space="preserve">Droits de lecture seule</t>
  </si>
  <si>
    <t xml:space="preserve">1. Se connecter en Gouvernante.
2. Ouvrir le registre.</t>
  </si>
  <si>
    <t xml:space="preserve">Lecture possible, modification refusée.</t>
  </si>
  <si>
    <t xml:space="preserve">P01</t>
  </si>
  <si>
    <t xml:space="preserve">Chambres dans divers états</t>
  </si>
  <si>
    <t xml:space="preserve">Lire le tableau des chambres sans formation</t>
  </si>
  <si>
    <t xml:space="preserve">1. Gouvernante → Tableau des chambres.</t>
  </si>
  <si>
    <t xml:space="preserve">Toutes les chambres sont visibles, classées À nettoyer / En cours / À inspecter / Propre ; chaque carte dit quoi faire, le client, l'équipière ; un bouton par étape.</t>
  </si>
  <si>
    <t xml:space="preserve">P02</t>
  </si>
  <si>
    <t xml:space="preserve">Chambres à nettoyer non affectées, 2 équipières</t>
  </si>
  <si>
    <t xml:space="preserve">Répartir les chambres du jour</t>
  </si>
  <si>
    <t xml:space="preserve">1. Gouvernante → Répartir les chambres du jour.
2. Cocher les équipières.
3. Répartir.</t>
  </si>
  <si>
    <t xml:space="preserve">Les tâches sont distribuées à tour de rôle ; sans équipière cochée, message clair.</t>
  </si>
  <si>
    <t xml:space="preserve">P03</t>
  </si>
  <si>
    <t xml:space="preserve">Équipière connectée sur téléphone</t>
  </si>
  <si>
    <t xml:space="preserve">Ma journée : commencer et terminer</t>
  </si>
  <si>
    <t xml:space="preserve">1. Ouvrir « Ma journée ».
2. « Je commence » puis « C'est fait ».</t>
  </si>
  <si>
    <t xml:space="preserve">Elle ne voit que ses chambres ; la chambre passe « Nettoyage en cours » puis « Propre » ; durée mesurée.</t>
  </si>
  <si>
    <t xml:space="preserve">P04</t>
  </si>
  <si>
    <t xml:space="preserve">Inspection après recouche activée</t>
  </si>
  <si>
    <t xml:space="preserve">Inspection avec checklist</t>
  </si>
  <si>
    <t xml:space="preserve">1. Après recouche, ouvrir l'inspection.
2. Laisser un point non coché avec remarque.
3. Valider.</t>
  </si>
  <si>
    <t xml:space="preserve">La chambre repasse « À nettoyer » avec une tâche URGENTE reprenant la remarque, affectée à la même équipière ; une inspection conforme la rend propre.</t>
  </si>
  <si>
    <t xml:space="preserve">P05</t>
  </si>
  <si>
    <t xml:space="preserve">Chambre libre</t>
  </si>
  <si>
    <t xml:space="preserve">Signaler une panne qui bloque la chambre</t>
  </si>
  <si>
    <t xml:space="preserve">1. Sur la carte, clé → « Signaler un problème ».
2. Cocher « chambre invendable ».</t>
  </si>
  <si>
    <t xml:space="preserve">Demande créée dans Pannes &amp; réparations ; chambre hors service, indisponible à la réservation ; badge de panne sur la carte.</t>
  </si>
  <si>
    <t xml:space="preserve">P06</t>
  </si>
  <si>
    <t xml:space="preserve">Demande bloquante ouverte</t>
  </si>
  <si>
    <t xml:space="preserve">Remise en vente automatique après réparation</t>
  </si>
  <si>
    <t xml:space="preserve">1. Passer la demande en « Réparé ».</t>
  </si>
  <si>
    <t xml:space="preserve">La chambre revient en service, « À nettoyer », avec une tâche de remise en service ; plus de panne ouverte.</t>
  </si>
  <si>
    <t xml:space="preserve">P07</t>
  </si>
  <si>
    <t xml:space="preserve">Chambre occupée</t>
  </si>
  <si>
    <t xml:space="preserve">Panne sur chambre occupée</t>
  </si>
  <si>
    <t xml:space="preserve">1. Signaler une panne bloquante sur une chambre occupée.</t>
  </si>
  <si>
    <t xml:space="preserve">La demande est créée mais la chambre n'est pas mise hors service.</t>
  </si>
  <si>
    <t xml:space="preserve">P08</t>
  </si>
  <si>
    <t xml:space="preserve">Objet oublié trouvé en chambre</t>
  </si>
  <si>
    <t xml:space="preserve">Objets trouvés</t>
  </si>
  <si>
    <t xml:space="preserve">1. Gouvernante → Objets trouvés → créer.
2. Choisir la chambre.
3. « Rendu au client ».</t>
  </si>
  <si>
    <t xml:space="preserve">Le séjour est deviné depuis la chambre et la date ; le statut passe « Rendu » daté.</t>
  </si>
  <si>
    <t xml:space="preserve">P09</t>
  </si>
  <si>
    <t xml:space="preserve">Responsable</t>
  </si>
  <si>
    <t xml:space="preserve">Personnaliser la checklist d'inspection</t>
  </si>
  <si>
    <t xml:space="preserve">1. Configuration → Points de contrôle.
2. Ajouter un point.</t>
  </si>
  <si>
    <t xml:space="preserve">Les nouvelles inspections incluent le point ajouté.</t>
  </si>
  <si>
    <t xml:space="preserve">N°</t>
  </si>
  <si>
    <t xml:space="preserve">Cas lié</t>
  </si>
  <si>
    <t xml:space="preserve">Description</t>
  </si>
  <si>
    <t xml:space="preserve">Gravité</t>
  </si>
  <si>
    <t xml:space="preserve">Détecté le</t>
  </si>
  <si>
    <t xml:space="preserve">Détecté par</t>
  </si>
  <si>
    <t xml:space="preserve">Corrigé le</t>
  </si>
  <si>
    <t xml:space="preserve">Vérifié par</t>
  </si>
  <si>
    <t xml:space="preserve">Exemple : une chambre libre apparaît dans la liste des notes de chambre.</t>
  </si>
  <si>
    <t xml:space="preserve">Bloquante</t>
  </si>
  <si>
    <t xml:space="preserve">12/09/2026</t>
  </si>
  <si>
    <t xml:space="preserve">Nom du testeur</t>
  </si>
  <si>
    <t xml:space="preserve">Ouverte</t>
  </si>
  <si>
    <t xml:space="preserve">↑ ligne d'exemple à remplacer — saisir les anomalies à partir de la ligne 3</t>
  </si>
  <si>
    <t xml:space="preserve">COMMENT UTILISER CE CAHIER DE RECETTE</t>
  </si>
  <si>
    <t xml:space="preserve">1. Préparer l'environnement</t>
  </si>
  <si>
    <t xml:space="preserve">Installer la suite AITE HOUSE sur une base de recette (jamais sur la production). Installer aite_demo_data pour disposer de données, ou partir des données réelles du client selon le contexte.</t>
  </si>
  <si>
    <t xml:space="preserve">2. Dérouler les cas dans l'ordre des domaines</t>
  </si>
  <si>
    <t xml:space="preserve">Les cas A à M suivent le parcours naturel de l'établissement : hébergement, espaces, réservation en ligne, caisse, note de chambre, crédit, fidélité, stock, achats, pilotage, puis transverse.</t>
  </si>
  <si>
    <t xml:space="preserve">Traiter en priorité les cas « 1 - Critique » : ils conditionnent la mise en production.</t>
  </si>
  <si>
    <t xml:space="preserve">3. Saisir le résultat de chaque cas</t>
  </si>
  <si>
    <t xml:space="preserve">Colonne Statut (liste déroulante) : À tester / OK / KO / Bloqué / Non applicable.</t>
  </si>
  <si>
    <t xml:space="preserve">Renseigner le testeur, la date, et en cas d'échec une description précise dans la colonne Anomalie.</t>
  </si>
  <si>
    <t xml:space="preserve">4. Journaliser les anomalies</t>
  </si>
  <si>
    <t xml:space="preserve">Chaque KO donne lieu à une ligne dans l'onglet Anomalies, avec sa gravité et son statut de correction. La ligne 2 est un exemple à remplacer.</t>
  </si>
  <si>
    <t xml:space="preserve">5. Suivre l'avancement</t>
  </si>
  <si>
    <t xml:space="preserve">L'onglet Synthèse se met à jour automatiquement : avancement global, taux de réussite, cas critiques en échec, et détail par domaine.</t>
  </si>
  <si>
    <t xml:space="preserve">6. Critères de prononcé de la recette</t>
  </si>
  <si>
    <t xml:space="preserve">· Recette prononcée : 100 % des cas critiques en OK et aucune anomalie bloquante ouverte.</t>
  </si>
  <si>
    <t xml:space="preserve">· Recette prononcée avec réserves : cas critiques en OK, anomalies majeures ou mineures listées avec une date de correction convenue.</t>
  </si>
  <si>
    <t xml:space="preserve">· Recette refusée : au moins un cas critique en KO.</t>
  </si>
  <si>
    <t xml:space="preserve">Éditeur : AITE Consulting SARL — Douala, Makepe Bloc F — info@aite-consulting.com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</si>
</sst>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A4C5C"/>
      <name val="Arial"/>
      <family val="0"/>
      <charset val="1"/>
    </font>
    <font>
      <sz val="11"/>
      <color rgb="FF5A6670"/>
      <name val="Arial"/>
      <family val="0"/>
      <charset val="1"/>
    </font>
    <font>
      <sz val="9"/>
      <color rgb="FF8A949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8A949C"/>
      <name val="Arial"/>
      <family val="0"/>
      <charset val="1"/>
    </font>
    <font>
      <b val="true"/>
      <sz val="10"/>
      <color rgb="FF0A4C5C"/>
      <name val="Arial"/>
      <family val="0"/>
      <charset val="1"/>
    </font>
    <font>
      <sz val="9"/>
      <name val="Arial"/>
      <family val="0"/>
      <charset val="1"/>
    </font>
    <font>
      <b val="true"/>
      <sz val="12"/>
      <color rgb="FF0A4C5C"/>
      <name val="Arial"/>
      <family val="0"/>
      <charset val="1"/>
    </font>
    <font>
      <b val="true"/>
      <sz val="12"/>
      <color rgb="FFC0392B"/>
      <name val="Arial"/>
      <family val="0"/>
      <charset val="1"/>
    </font>
    <font>
      <b val="true"/>
      <sz val="9"/>
      <color rgb="FF0A4C5C"/>
      <name val="Arial"/>
      <family val="0"/>
      <charset val="1"/>
    </font>
    <font>
      <b val="true"/>
      <sz val="9"/>
      <color rgb="FFC0392B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5"/>
      <color rgb="FF0A4C5C"/>
      <name val="Arial"/>
      <family val="0"/>
      <charset val="1"/>
    </font>
    <font>
      <b val="true"/>
      <sz val="11"/>
      <color rgb="FF0F6478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F6478"/>
        <bgColor rgb="FF0A4C5C"/>
      </patternFill>
    </fill>
    <fill>
      <patternFill patternType="solid">
        <fgColor rgb="FFFFF9D6"/>
        <bgColor rgb="FFFFFFFF"/>
      </patternFill>
    </fill>
    <fill>
      <patternFill patternType="solid">
        <fgColor rgb="FFEEF2F4"/>
        <bgColor rgb="FFFFFFFF"/>
      </patternFill>
    </fill>
    <fill>
      <patternFill patternType="solid">
        <fgColor rgb="FFF4CDAA"/>
        <bgColor rgb="FFC9D4DA"/>
      </patternFill>
    </fill>
    <fill>
      <patternFill patternType="solid">
        <fgColor rgb="FF0A4C5C"/>
        <bgColor rgb="FF0F6478"/>
      </patternFill>
    </fill>
    <fill>
      <patternFill patternType="solid">
        <fgColor rgb="FF7A2E86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4DA"/>
      </left>
      <right style="thin">
        <color rgb="FFC9D4DA"/>
      </right>
      <top style="thin">
        <color rgb="FFC9D4DA"/>
      </top>
      <bottom style="thin">
        <color rgb="FFC9D4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0A4C5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392B"/>
          <bgColor rgb="FF000000"/>
        </patternFill>
      </fill>
    </dxf>
    <dxf>
      <fill>
        <patternFill patternType="solid">
          <fgColor rgb="FFFFF9D6"/>
          <bgColor rgb="FF000000"/>
        </patternFill>
      </fill>
    </dxf>
    <dxf>
      <fill>
        <patternFill patternType="solid">
          <fgColor rgb="FF7A2E8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A94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478"/>
      <rgbColor rgb="FFC0C0C0"/>
      <rgbColor rgb="FF808080"/>
      <rgbColor rgb="FF9999FF"/>
      <rgbColor rgb="FF7A2E86"/>
      <rgbColor rgb="FFFFF9D6"/>
      <rgbColor rgb="FFEEF2F4"/>
      <rgbColor rgb="FF660066"/>
      <rgbColor rgb="FFFF8080"/>
      <rgbColor rgb="FF0066CC"/>
      <rgbColor rgb="FFC9D4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DAA"/>
      <rgbColor rgb="FF3366FF"/>
      <rgbColor rgb="FF33CCCC"/>
      <rgbColor rgb="FF99CC00"/>
      <rgbColor rgb="FFFFCC00"/>
      <rgbColor rgb="FFFF9900"/>
      <rgbColor rgb="FFFF6600"/>
      <rgbColor rgb="FF5A6670"/>
      <rgbColor rgb="FF8A949C"/>
      <rgbColor rgb="FF0A4C5C"/>
      <rgbColor rgb="FF339966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L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3"/>
    <col collapsed="false" customWidth="true" hidden="false" outlineLevel="0" max="7" min="7" style="0" width="40"/>
    <col collapsed="false" customWidth="true" hidden="false" outlineLevel="0" max="8" min="8" style="0" width="26"/>
    <col collapsed="false" customWidth="true" hidden="false" outlineLevel="0" max="11" min="9" style="0" width="8"/>
    <col collapsed="false" customWidth="true" hidden="false" outlineLevel="0" max="12" min="12" style="0" width="14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15" hidden="false" customHeight="false" outlineLevel="0" collapsed="false">
      <c r="B6" s="4" t="s">
        <v>3</v>
      </c>
      <c r="C6" s="4"/>
      <c r="D6" s="4"/>
      <c r="E6" s="4"/>
    </row>
    <row r="7" customFormat="false" ht="15" hidden="false" customHeight="false" outlineLevel="0" collapsed="false">
      <c r="B7" s="5" t="s">
        <v>4</v>
      </c>
      <c r="C7" s="6"/>
      <c r="D7" s="6"/>
      <c r="E7" s="6"/>
    </row>
    <row r="8" customFormat="false" ht="15" hidden="false" customHeight="false" outlineLevel="0" collapsed="false">
      <c r="B8" s="5" t="s">
        <v>5</v>
      </c>
      <c r="C8" s="6" t="s">
        <v>6</v>
      </c>
      <c r="D8" s="6"/>
      <c r="E8" s="6"/>
    </row>
    <row r="9" customFormat="false" ht="15" hidden="false" customHeight="false" outlineLevel="0" collapsed="false">
      <c r="B9" s="5" t="s">
        <v>7</v>
      </c>
      <c r="C9" s="6" t="s">
        <v>8</v>
      </c>
      <c r="D9" s="6"/>
      <c r="E9" s="6"/>
    </row>
    <row r="10" customFormat="false" ht="15" hidden="false" customHeight="false" outlineLevel="0" collapsed="false">
      <c r="B10" s="5" t="s">
        <v>9</v>
      </c>
      <c r="C10" s="6"/>
      <c r="D10" s="6"/>
      <c r="E10" s="6"/>
    </row>
    <row r="11" customFormat="false" ht="15" hidden="false" customHeight="false" outlineLevel="0" collapsed="false">
      <c r="B11" s="5" t="s">
        <v>10</v>
      </c>
      <c r="C11" s="6"/>
      <c r="D11" s="6"/>
      <c r="E11" s="6"/>
    </row>
    <row r="12" customFormat="false" ht="15" hidden="false" customHeight="false" outlineLevel="0" collapsed="false">
      <c r="B12" s="5" t="s">
        <v>11</v>
      </c>
      <c r="C12" s="6"/>
      <c r="D12" s="6"/>
      <c r="E12" s="6"/>
    </row>
    <row r="13" customFormat="false" ht="15" hidden="false" customHeight="false" outlineLevel="0" collapsed="false">
      <c r="B13" s="5" t="s">
        <v>12</v>
      </c>
      <c r="C13" s="6"/>
      <c r="D13" s="6"/>
      <c r="E13" s="6"/>
    </row>
    <row r="14" customFormat="false" ht="15" hidden="false" customHeight="false" outlineLevel="0" collapsed="false">
      <c r="B14" s="5" t="s">
        <v>13</v>
      </c>
      <c r="C14" s="6"/>
      <c r="D14" s="6"/>
      <c r="E14" s="6"/>
    </row>
    <row r="16" customFormat="false" ht="15" hidden="false" customHeight="false" outlineLevel="0" collapsed="false">
      <c r="B16" s="7" t="s">
        <v>14</v>
      </c>
    </row>
    <row r="18" customFormat="false" ht="15" hidden="false" customHeight="false" outlineLevel="0" collapsed="false">
      <c r="B18" s="4" t="s">
        <v>15</v>
      </c>
      <c r="C18" s="4"/>
      <c r="D18" s="4"/>
      <c r="E18" s="4"/>
      <c r="G18" s="4" t="s">
        <v>16</v>
      </c>
      <c r="H18" s="4"/>
      <c r="I18" s="4"/>
      <c r="J18" s="4"/>
      <c r="K18" s="4"/>
      <c r="L18" s="4"/>
    </row>
    <row r="19" customFormat="false" ht="15" hidden="false" customHeight="false" outlineLevel="0" collapsed="false">
      <c r="B19" s="8" t="s">
        <v>17</v>
      </c>
      <c r="C19" s="8" t="s">
        <v>18</v>
      </c>
      <c r="D19" s="8" t="s">
        <v>19</v>
      </c>
      <c r="G19" s="8" t="s">
        <v>20</v>
      </c>
      <c r="H19" s="8" t="s">
        <v>21</v>
      </c>
      <c r="I19" s="8" t="s">
        <v>22</v>
      </c>
      <c r="J19" s="8" t="s">
        <v>23</v>
      </c>
      <c r="K19" s="8" t="s">
        <v>24</v>
      </c>
      <c r="L19" s="8" t="s">
        <v>25</v>
      </c>
    </row>
    <row r="20" customFormat="false" ht="15" hidden="false" customHeight="false" outlineLevel="0" collapsed="false">
      <c r="B20" s="9" t="s">
        <v>26</v>
      </c>
      <c r="C20" s="10" t="n">
        <f aca="false">COUNTIF('Cas de test'!$I$2:$I$200,$B20)</f>
        <v>139</v>
      </c>
      <c r="D20" s="11" t="n">
        <f aca="false">IFERROR($C20/$C$25,0)</f>
        <v>1</v>
      </c>
      <c r="G20" s="12" t="s">
        <v>27</v>
      </c>
      <c r="H20" s="12" t="s">
        <v>28</v>
      </c>
      <c r="I20" s="12" t="n">
        <f aca="false">COUNTIF('Cas de test'!$B$2:$B$200,$G20)</f>
        <v>14</v>
      </c>
      <c r="J20" s="12" t="n">
        <f aca="false">COUNTIFS('Cas de test'!$B$2:$B$200,$G20,'Cas de test'!$I$2:$I$200,"OK")</f>
        <v>0</v>
      </c>
      <c r="K20" s="12" t="n">
        <f aca="false">COUNTIFS('Cas de test'!$B$2:$B$200,$G20,'Cas de test'!$I$2:$I$200,"KO")</f>
        <v>0</v>
      </c>
      <c r="L20" s="12" t="n">
        <f aca="false">COUNTIFS('Cas de test'!$B$2:$B$200,$G20,'Cas de test'!$I$2:$I$200,"À tester")</f>
        <v>14</v>
      </c>
    </row>
    <row r="21" customFormat="false" ht="15" hidden="false" customHeight="false" outlineLevel="0" collapsed="false">
      <c r="B21" s="9" t="s">
        <v>23</v>
      </c>
      <c r="C21" s="10" t="n">
        <f aca="false">COUNTIF('Cas de test'!$I$2:$I$200,$B21)</f>
        <v>0</v>
      </c>
      <c r="D21" s="11" t="n">
        <f aca="false">IFERROR($C21/$C$25,0)</f>
        <v>0</v>
      </c>
      <c r="G21" s="12" t="s">
        <v>29</v>
      </c>
      <c r="H21" s="12" t="s">
        <v>30</v>
      </c>
      <c r="I21" s="12" t="n">
        <f aca="false">COUNTIF('Cas de test'!$B$2:$B$200,$G21)</f>
        <v>8</v>
      </c>
      <c r="J21" s="12" t="n">
        <f aca="false">COUNTIFS('Cas de test'!$B$2:$B$200,$G21,'Cas de test'!$I$2:$I$200,"OK")</f>
        <v>0</v>
      </c>
      <c r="K21" s="12" t="n">
        <f aca="false">COUNTIFS('Cas de test'!$B$2:$B$200,$G21,'Cas de test'!$I$2:$I$200,"KO")</f>
        <v>0</v>
      </c>
      <c r="L21" s="12" t="n">
        <f aca="false">COUNTIFS('Cas de test'!$B$2:$B$200,$G21,'Cas de test'!$I$2:$I$200,"À tester")</f>
        <v>8</v>
      </c>
    </row>
    <row r="22" customFormat="false" ht="15" hidden="false" customHeight="false" outlineLevel="0" collapsed="false">
      <c r="B22" s="9" t="s">
        <v>24</v>
      </c>
      <c r="C22" s="10" t="n">
        <f aca="false">COUNTIF('Cas de test'!$I$2:$I$200,$B22)</f>
        <v>0</v>
      </c>
      <c r="D22" s="11" t="n">
        <f aca="false">IFERROR($C22/$C$25,0)</f>
        <v>0</v>
      </c>
      <c r="G22" s="12" t="s">
        <v>31</v>
      </c>
      <c r="H22" s="12" t="s">
        <v>32</v>
      </c>
      <c r="I22" s="12" t="n">
        <f aca="false">COUNTIF('Cas de test'!$B$2:$B$200,$G22)</f>
        <v>8</v>
      </c>
      <c r="J22" s="12" t="n">
        <f aca="false">COUNTIFS('Cas de test'!$B$2:$B$200,$G22,'Cas de test'!$I$2:$I$200,"OK")</f>
        <v>0</v>
      </c>
      <c r="K22" s="12" t="n">
        <f aca="false">COUNTIFS('Cas de test'!$B$2:$B$200,$G22,'Cas de test'!$I$2:$I$200,"KO")</f>
        <v>0</v>
      </c>
      <c r="L22" s="12" t="n">
        <f aca="false">COUNTIFS('Cas de test'!$B$2:$B$200,$G22,'Cas de test'!$I$2:$I$200,"À tester")</f>
        <v>8</v>
      </c>
    </row>
    <row r="23" customFormat="false" ht="15" hidden="false" customHeight="false" outlineLevel="0" collapsed="false">
      <c r="B23" s="9" t="s">
        <v>33</v>
      </c>
      <c r="C23" s="10" t="n">
        <f aca="false">COUNTIF('Cas de test'!$I$2:$I$200,$B23)</f>
        <v>0</v>
      </c>
      <c r="D23" s="11" t="n">
        <f aca="false">IFERROR($C23/$C$25,0)</f>
        <v>0</v>
      </c>
      <c r="G23" s="12" t="s">
        <v>34</v>
      </c>
      <c r="H23" s="12" t="s">
        <v>35</v>
      </c>
      <c r="I23" s="12" t="n">
        <f aca="false">COUNTIF('Cas de test'!$B$2:$B$200,$G23)</f>
        <v>12</v>
      </c>
      <c r="J23" s="12" t="n">
        <f aca="false">COUNTIFS('Cas de test'!$B$2:$B$200,$G23,'Cas de test'!$I$2:$I$200,"OK")</f>
        <v>0</v>
      </c>
      <c r="K23" s="12" t="n">
        <f aca="false">COUNTIFS('Cas de test'!$B$2:$B$200,$G23,'Cas de test'!$I$2:$I$200,"KO")</f>
        <v>0</v>
      </c>
      <c r="L23" s="12" t="n">
        <f aca="false">COUNTIFS('Cas de test'!$B$2:$B$200,$G23,'Cas de test'!$I$2:$I$200,"À tester")</f>
        <v>12</v>
      </c>
    </row>
    <row r="24" customFormat="false" ht="15" hidden="false" customHeight="false" outlineLevel="0" collapsed="false">
      <c r="B24" s="9" t="s">
        <v>36</v>
      </c>
      <c r="C24" s="10" t="n">
        <f aca="false">COUNTIF('Cas de test'!$I$2:$I$200,$B24)</f>
        <v>0</v>
      </c>
      <c r="D24" s="11" t="n">
        <f aca="false">IFERROR($C24/$C$25,0)</f>
        <v>0</v>
      </c>
      <c r="G24" s="12" t="s">
        <v>37</v>
      </c>
      <c r="H24" s="12" t="s">
        <v>38</v>
      </c>
      <c r="I24" s="12" t="n">
        <f aca="false">COUNTIF('Cas de test'!$B$2:$B$200,$G24)</f>
        <v>8</v>
      </c>
      <c r="J24" s="12" t="n">
        <f aca="false">COUNTIFS('Cas de test'!$B$2:$B$200,$G24,'Cas de test'!$I$2:$I$200,"OK")</f>
        <v>0</v>
      </c>
      <c r="K24" s="12" t="n">
        <f aca="false">COUNTIFS('Cas de test'!$B$2:$B$200,$G24,'Cas de test'!$I$2:$I$200,"KO")</f>
        <v>0</v>
      </c>
      <c r="L24" s="12" t="n">
        <f aca="false">COUNTIFS('Cas de test'!$B$2:$B$200,$G24,'Cas de test'!$I$2:$I$200,"À tester")</f>
        <v>8</v>
      </c>
    </row>
    <row r="25" customFormat="false" ht="15" hidden="false" customHeight="false" outlineLevel="0" collapsed="false">
      <c r="B25" s="13" t="s">
        <v>39</v>
      </c>
      <c r="C25" s="13" t="n">
        <f aca="false">COUNTA('Cas de test'!$A$2:$A$200)</f>
        <v>139</v>
      </c>
      <c r="D25" s="14" t="n">
        <f aca="false">IFERROR(SUM($D$20:$D$24),0)</f>
        <v>1</v>
      </c>
      <c r="G25" s="12" t="s">
        <v>40</v>
      </c>
      <c r="H25" s="12" t="s">
        <v>41</v>
      </c>
      <c r="I25" s="12" t="n">
        <f aca="false">COUNTIF('Cas de test'!$B$2:$B$200,$G25)</f>
        <v>12</v>
      </c>
      <c r="J25" s="12" t="n">
        <f aca="false">COUNTIFS('Cas de test'!$B$2:$B$200,$G25,'Cas de test'!$I$2:$I$200,"OK")</f>
        <v>0</v>
      </c>
      <c r="K25" s="12" t="n">
        <f aca="false">COUNTIFS('Cas de test'!$B$2:$B$200,$G25,'Cas de test'!$I$2:$I$200,"KO")</f>
        <v>0</v>
      </c>
      <c r="L25" s="12" t="n">
        <f aca="false">COUNTIFS('Cas de test'!$B$2:$B$200,$G25,'Cas de test'!$I$2:$I$200,"À tester")</f>
        <v>12</v>
      </c>
    </row>
    <row r="26" customFormat="false" ht="15" hidden="false" customHeight="false" outlineLevel="0" collapsed="false">
      <c r="G26" s="12" t="s">
        <v>42</v>
      </c>
      <c r="H26" s="12" t="s">
        <v>43</v>
      </c>
      <c r="I26" s="12" t="n">
        <f aca="false">COUNTIF('Cas de test'!$B$2:$B$200,$G26)</f>
        <v>8</v>
      </c>
      <c r="J26" s="12" t="n">
        <f aca="false">COUNTIFS('Cas de test'!$B$2:$B$200,$G26,'Cas de test'!$I$2:$I$200,"OK")</f>
        <v>0</v>
      </c>
      <c r="K26" s="12" t="n">
        <f aca="false">COUNTIFS('Cas de test'!$B$2:$B$200,$G26,'Cas de test'!$I$2:$I$200,"KO")</f>
        <v>0</v>
      </c>
      <c r="L26" s="12" t="n">
        <f aca="false">COUNTIFS('Cas de test'!$B$2:$B$200,$G26,'Cas de test'!$I$2:$I$200,"À tester")</f>
        <v>8</v>
      </c>
    </row>
    <row r="27" customFormat="false" ht="15" hidden="false" customHeight="false" outlineLevel="0" collapsed="false">
      <c r="B27" s="5" t="s">
        <v>44</v>
      </c>
      <c r="C27" s="15" t="n">
        <f aca="false">IFERROR($C$21/($C$21+$C$22),0)</f>
        <v>0</v>
      </c>
      <c r="G27" s="12" t="s">
        <v>45</v>
      </c>
      <c r="H27" s="12" t="s">
        <v>46</v>
      </c>
      <c r="I27" s="12" t="n">
        <f aca="false">COUNTIF('Cas de test'!$B$2:$B$200,$G27)</f>
        <v>9</v>
      </c>
      <c r="J27" s="12" t="n">
        <f aca="false">COUNTIFS('Cas de test'!$B$2:$B$200,$G27,'Cas de test'!$I$2:$I$200,"OK")</f>
        <v>0</v>
      </c>
      <c r="K27" s="12" t="n">
        <f aca="false">COUNTIFS('Cas de test'!$B$2:$B$200,$G27,'Cas de test'!$I$2:$I$200,"KO")</f>
        <v>0</v>
      </c>
      <c r="L27" s="12" t="n">
        <f aca="false">COUNTIFS('Cas de test'!$B$2:$B$200,$G27,'Cas de test'!$I$2:$I$200,"À tester")</f>
        <v>9</v>
      </c>
    </row>
    <row r="28" customFormat="false" ht="15" hidden="false" customHeight="false" outlineLevel="0" collapsed="false">
      <c r="B28" s="5" t="s">
        <v>47</v>
      </c>
      <c r="C28" s="16" t="n">
        <f aca="false">COUNTIFS('Cas de test'!$D$2:$D$200,"1 - Critique",'Cas de test'!$I$2:$I$200,"KO")</f>
        <v>0</v>
      </c>
      <c r="G28" s="12" t="s">
        <v>48</v>
      </c>
      <c r="H28" s="12" t="s">
        <v>49</v>
      </c>
      <c r="I28" s="12" t="n">
        <f aca="false">COUNTIF('Cas de test'!$B$2:$B$200,$G28)</f>
        <v>8</v>
      </c>
      <c r="J28" s="12" t="n">
        <f aca="false">COUNTIFS('Cas de test'!$B$2:$B$200,$G28,'Cas de test'!$I$2:$I$200,"OK")</f>
        <v>0</v>
      </c>
      <c r="K28" s="12" t="n">
        <f aca="false">COUNTIFS('Cas de test'!$B$2:$B$200,$G28,'Cas de test'!$I$2:$I$200,"KO")</f>
        <v>0</v>
      </c>
      <c r="L28" s="12" t="n">
        <f aca="false">COUNTIFS('Cas de test'!$B$2:$B$200,$G28,'Cas de test'!$I$2:$I$200,"À tester")</f>
        <v>8</v>
      </c>
    </row>
    <row r="29" customFormat="false" ht="15" hidden="false" customHeight="false" outlineLevel="0" collapsed="false">
      <c r="G29" s="12" t="s">
        <v>50</v>
      </c>
      <c r="H29" s="12" t="s">
        <v>51</v>
      </c>
      <c r="I29" s="12" t="n">
        <f aca="false">COUNTIF('Cas de test'!$B$2:$B$200,$G29)</f>
        <v>10</v>
      </c>
      <c r="J29" s="12" t="n">
        <f aca="false">COUNTIFS('Cas de test'!$B$2:$B$200,$G29,'Cas de test'!$I$2:$I$200,"OK")</f>
        <v>0</v>
      </c>
      <c r="K29" s="12" t="n">
        <f aca="false">COUNTIFS('Cas de test'!$B$2:$B$200,$G29,'Cas de test'!$I$2:$I$200,"KO")</f>
        <v>0</v>
      </c>
      <c r="L29" s="12" t="n">
        <f aca="false">COUNTIFS('Cas de test'!$B$2:$B$200,$G29,'Cas de test'!$I$2:$I$200,"À tester")</f>
        <v>10</v>
      </c>
    </row>
    <row r="30" customFormat="false" ht="15" hidden="false" customHeight="false" outlineLevel="0" collapsed="false">
      <c r="G30" s="12" t="s">
        <v>52</v>
      </c>
      <c r="H30" s="12" t="s">
        <v>53</v>
      </c>
      <c r="I30" s="12" t="n">
        <f aca="false">COUNTIF('Cas de test'!$B$2:$B$200,$G30)</f>
        <v>4</v>
      </c>
      <c r="J30" s="12" t="n">
        <f aca="false">COUNTIFS('Cas de test'!$B$2:$B$200,$G30,'Cas de test'!$I$2:$I$200,"OK")</f>
        <v>0</v>
      </c>
      <c r="K30" s="12" t="n">
        <f aca="false">COUNTIFS('Cas de test'!$B$2:$B$200,$G30,'Cas de test'!$I$2:$I$200,"KO")</f>
        <v>0</v>
      </c>
      <c r="L30" s="12" t="n">
        <f aca="false">COUNTIFS('Cas de test'!$B$2:$B$200,$G30,'Cas de test'!$I$2:$I$200,"À tester")</f>
        <v>4</v>
      </c>
    </row>
    <row r="31" customFormat="false" ht="15" hidden="false" customHeight="false" outlineLevel="0" collapsed="false">
      <c r="G31" s="12" t="s">
        <v>54</v>
      </c>
      <c r="H31" s="12" t="s">
        <v>55</v>
      </c>
      <c r="I31" s="12" t="n">
        <f aca="false">COUNTIF('Cas de test'!$B$2:$B$200,$G31)</f>
        <v>3</v>
      </c>
      <c r="J31" s="12" t="n">
        <f aca="false">COUNTIFS('Cas de test'!$B$2:$B$200,$G31,'Cas de test'!$I$2:$I$200,"OK")</f>
        <v>0</v>
      </c>
      <c r="K31" s="12" t="n">
        <f aca="false">COUNTIFS('Cas de test'!$B$2:$B$200,$G31,'Cas de test'!$I$2:$I$200,"KO")</f>
        <v>0</v>
      </c>
      <c r="L31" s="12" t="n">
        <f aca="false">COUNTIFS('Cas de test'!$B$2:$B$200,$G31,'Cas de test'!$I$2:$I$200,"À tester")</f>
        <v>3</v>
      </c>
    </row>
    <row r="32" customFormat="false" ht="15" hidden="false" customHeight="false" outlineLevel="0" collapsed="false">
      <c r="G32" s="12" t="s">
        <v>56</v>
      </c>
      <c r="H32" s="12" t="s">
        <v>57</v>
      </c>
      <c r="I32" s="12" t="n">
        <f aca="false">COUNTIF('Cas de test'!$B$2:$B$200,$G32)</f>
        <v>10</v>
      </c>
      <c r="J32" s="12" t="n">
        <f aca="false">COUNTIFS('Cas de test'!$B$2:$B$200,$G32,'Cas de test'!$I$2:$I$200,"OK")</f>
        <v>0</v>
      </c>
      <c r="K32" s="12" t="n">
        <f aca="false">COUNTIFS('Cas de test'!$B$2:$B$200,$G32,'Cas de test'!$I$2:$I$200,"KO")</f>
        <v>0</v>
      </c>
      <c r="L32" s="12" t="n">
        <f aca="false">COUNTIFS('Cas de test'!$B$2:$B$200,$G32,'Cas de test'!$I$2:$I$200,"À tester")</f>
        <v>10</v>
      </c>
    </row>
    <row r="33" customFormat="false" ht="15" hidden="false" customHeight="false" outlineLevel="0" collapsed="false">
      <c r="G33" s="12" t="s">
        <v>58</v>
      </c>
      <c r="H33" s="12" t="s">
        <v>59</v>
      </c>
      <c r="I33" s="12" t="n">
        <f aca="false">COUNTIF('Cas de test'!$B$2:$B$200,$G33)</f>
        <v>8</v>
      </c>
      <c r="J33" s="12" t="n">
        <f aca="false">COUNTIFS('Cas de test'!$B$2:$B$200,$G33,'Cas de test'!$I$2:$I$200,"OK")</f>
        <v>0</v>
      </c>
      <c r="K33" s="12" t="n">
        <f aca="false">COUNTIFS('Cas de test'!$B$2:$B$200,$G33,'Cas de test'!$I$2:$I$200,"KO")</f>
        <v>0</v>
      </c>
      <c r="L33" s="12" t="n">
        <f aca="false">COUNTIFS('Cas de test'!$B$2:$B$200,$G33,'Cas de test'!$I$2:$I$200,"À tester")</f>
        <v>8</v>
      </c>
    </row>
    <row r="34" customFormat="false" ht="15" hidden="false" customHeight="false" outlineLevel="0" collapsed="false">
      <c r="G34" s="12" t="s">
        <v>60</v>
      </c>
      <c r="H34" s="12" t="s">
        <v>61</v>
      </c>
      <c r="I34" s="12" t="n">
        <f aca="false">COUNTIF('Cas de test'!$B$2:$B$200,$G34)</f>
        <v>8</v>
      </c>
      <c r="J34" s="12" t="n">
        <f aca="false">COUNTIFS('Cas de test'!$B$2:$B$200,$G34,'Cas de test'!$I$2:$I$200,"OK")</f>
        <v>0</v>
      </c>
      <c r="K34" s="12" t="n">
        <f aca="false">COUNTIFS('Cas de test'!$B$2:$B$200,$G34,'Cas de test'!$I$2:$I$200,"KO")</f>
        <v>0</v>
      </c>
      <c r="L34" s="12" t="n">
        <f aca="false">COUNTIFS('Cas de test'!$B$2:$B$200,$G34,'Cas de test'!$I$2:$I$200,"À tester")</f>
        <v>8</v>
      </c>
    </row>
    <row r="35" customFormat="false" ht="15" hidden="false" customHeight="false" outlineLevel="0" collapsed="false">
      <c r="G35" s="12" t="s">
        <v>62</v>
      </c>
      <c r="H35" s="12" t="s">
        <v>63</v>
      </c>
      <c r="I35" s="12" t="n">
        <f aca="false">COUNTIF('Cas de test'!$B$2:$B$200,$G35)</f>
        <v>9</v>
      </c>
      <c r="J35" s="12" t="n">
        <f aca="false">COUNTIFS('Cas de test'!$B$2:$B$200,$G35,'Cas de test'!$I$2:$I$200,"OK")</f>
        <v>0</v>
      </c>
      <c r="K35" s="12" t="n">
        <f aca="false">COUNTIFS('Cas de test'!$B$2:$B$200,$G35,'Cas de test'!$I$2:$I$200,"KO")</f>
        <v>0</v>
      </c>
      <c r="L35" s="12" t="n">
        <f aca="false">COUNTIFS('Cas de test'!$B$2:$B$200,$G35,'Cas de test'!$I$2:$I$200,"À tester")</f>
        <v>9</v>
      </c>
    </row>
  </sheetData>
  <mergeCells count="11">
    <mergeCell ref="B6:E6"/>
    <mergeCell ref="C7:E7"/>
    <mergeCell ref="C8:E8"/>
    <mergeCell ref="C9:E9"/>
    <mergeCell ref="C10:E10"/>
    <mergeCell ref="C11:E11"/>
    <mergeCell ref="C12:E12"/>
    <mergeCell ref="C13:E13"/>
    <mergeCell ref="C14:E14"/>
    <mergeCell ref="B18:E18"/>
    <mergeCell ref="G18:L18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12"/>
    <col collapsed="false" customWidth="true" hidden="false" outlineLevel="0" max="5" min="5" style="0" width="34"/>
    <col collapsed="false" customWidth="true" hidden="false" outlineLevel="0" max="6" min="6" style="0" width="38"/>
    <col collapsed="false" customWidth="true" hidden="false" outlineLevel="0" max="8" min="7" style="0" width="52"/>
    <col collapsed="false" customWidth="true" hidden="false" outlineLevel="0" max="10" min="9" style="0" width="14"/>
    <col collapsed="false" customWidth="true" hidden="false" outlineLevel="0" max="11" min="11" style="0" width="12"/>
    <col collapsed="false" customWidth="true" hidden="false" outlineLevel="0" max="12" min="12" style="0" width="34"/>
  </cols>
  <sheetData>
    <row r="1" customFormat="false" ht="27.75" hidden="false" customHeight="true" outlineLevel="0" collapsed="false">
      <c r="A1" s="17" t="s">
        <v>64</v>
      </c>
      <c r="B1" s="17" t="s">
        <v>20</v>
      </c>
      <c r="C1" s="17" t="s">
        <v>21</v>
      </c>
      <c r="D1" s="17" t="s">
        <v>65</v>
      </c>
      <c r="E1" s="17" t="s">
        <v>66</v>
      </c>
      <c r="F1" s="17" t="s">
        <v>67</v>
      </c>
      <c r="G1" s="17" t="s">
        <v>68</v>
      </c>
      <c r="H1" s="17" t="s">
        <v>69</v>
      </c>
      <c r="I1" s="17" t="s">
        <v>17</v>
      </c>
      <c r="J1" s="17" t="s">
        <v>70</v>
      </c>
      <c r="K1" s="17" t="s">
        <v>71</v>
      </c>
      <c r="L1" s="17" t="s">
        <v>72</v>
      </c>
    </row>
    <row r="2" customFormat="false" ht="57.75" hidden="false" customHeight="true" outlineLevel="0" collapsed="false">
      <c r="A2" s="18" t="s">
        <v>73</v>
      </c>
      <c r="B2" s="19" t="s">
        <v>27</v>
      </c>
      <c r="C2" s="19" t="s">
        <v>28</v>
      </c>
      <c r="D2" s="20" t="s">
        <v>74</v>
      </c>
      <c r="E2" s="19" t="s">
        <v>75</v>
      </c>
      <c r="F2" s="21" t="s">
        <v>76</v>
      </c>
      <c r="G2" s="19" t="s">
        <v>77</v>
      </c>
      <c r="H2" s="19" t="s">
        <v>78</v>
      </c>
      <c r="I2" s="22" t="s">
        <v>26</v>
      </c>
      <c r="J2" s="22"/>
      <c r="K2" s="22"/>
      <c r="L2" s="22"/>
    </row>
    <row r="3" customFormat="false" ht="57.75" hidden="false" customHeight="true" outlineLevel="0" collapsed="false">
      <c r="A3" s="18" t="s">
        <v>79</v>
      </c>
      <c r="B3" s="19" t="s">
        <v>27</v>
      </c>
      <c r="C3" s="19" t="s">
        <v>28</v>
      </c>
      <c r="D3" s="20" t="s">
        <v>74</v>
      </c>
      <c r="E3" s="19" t="s">
        <v>80</v>
      </c>
      <c r="F3" s="21" t="s">
        <v>81</v>
      </c>
      <c r="G3" s="19" t="s">
        <v>82</v>
      </c>
      <c r="H3" s="19" t="s">
        <v>83</v>
      </c>
      <c r="I3" s="22" t="s">
        <v>26</v>
      </c>
      <c r="J3" s="22"/>
      <c r="K3" s="22"/>
      <c r="L3" s="22"/>
    </row>
    <row r="4" customFormat="false" ht="57.75" hidden="false" customHeight="true" outlineLevel="0" collapsed="false">
      <c r="A4" s="18" t="s">
        <v>84</v>
      </c>
      <c r="B4" s="19" t="s">
        <v>27</v>
      </c>
      <c r="C4" s="19" t="s">
        <v>28</v>
      </c>
      <c r="D4" s="20" t="s">
        <v>74</v>
      </c>
      <c r="E4" s="19" t="s">
        <v>85</v>
      </c>
      <c r="F4" s="21" t="s">
        <v>86</v>
      </c>
      <c r="G4" s="19" t="s">
        <v>87</v>
      </c>
      <c r="H4" s="19" t="s">
        <v>88</v>
      </c>
      <c r="I4" s="22" t="s">
        <v>26</v>
      </c>
      <c r="J4" s="22"/>
      <c r="K4" s="22"/>
      <c r="L4" s="22"/>
    </row>
    <row r="5" customFormat="false" ht="57.75" hidden="false" customHeight="true" outlineLevel="0" collapsed="false">
      <c r="A5" s="18" t="s">
        <v>89</v>
      </c>
      <c r="B5" s="19" t="s">
        <v>27</v>
      </c>
      <c r="C5" s="19" t="s">
        <v>28</v>
      </c>
      <c r="D5" s="20" t="s">
        <v>74</v>
      </c>
      <c r="E5" s="19" t="s">
        <v>90</v>
      </c>
      <c r="F5" s="21" t="s">
        <v>91</v>
      </c>
      <c r="G5" s="19" t="s">
        <v>92</v>
      </c>
      <c r="H5" s="19" t="s">
        <v>93</v>
      </c>
      <c r="I5" s="22" t="s">
        <v>26</v>
      </c>
      <c r="J5" s="22"/>
      <c r="K5" s="22"/>
      <c r="L5" s="22"/>
    </row>
    <row r="6" customFormat="false" ht="57.75" hidden="false" customHeight="true" outlineLevel="0" collapsed="false">
      <c r="A6" s="18" t="s">
        <v>94</v>
      </c>
      <c r="B6" s="19" t="s">
        <v>27</v>
      </c>
      <c r="C6" s="19" t="s">
        <v>28</v>
      </c>
      <c r="D6" s="20" t="s">
        <v>74</v>
      </c>
      <c r="E6" s="19" t="s">
        <v>95</v>
      </c>
      <c r="F6" s="21" t="s">
        <v>96</v>
      </c>
      <c r="G6" s="19" t="s">
        <v>97</v>
      </c>
      <c r="H6" s="19" t="s">
        <v>98</v>
      </c>
      <c r="I6" s="22" t="s">
        <v>26</v>
      </c>
      <c r="J6" s="22"/>
      <c r="K6" s="22"/>
      <c r="L6" s="22"/>
    </row>
    <row r="7" customFormat="false" ht="57.75" hidden="false" customHeight="true" outlineLevel="0" collapsed="false">
      <c r="A7" s="18" t="s">
        <v>99</v>
      </c>
      <c r="B7" s="19" t="s">
        <v>27</v>
      </c>
      <c r="C7" s="19" t="s">
        <v>28</v>
      </c>
      <c r="D7" s="20" t="s">
        <v>74</v>
      </c>
      <c r="E7" s="19" t="s">
        <v>100</v>
      </c>
      <c r="F7" s="21" t="s">
        <v>101</v>
      </c>
      <c r="G7" s="19" t="s">
        <v>102</v>
      </c>
      <c r="H7" s="19" t="s">
        <v>103</v>
      </c>
      <c r="I7" s="22" t="s">
        <v>26</v>
      </c>
      <c r="J7" s="22"/>
      <c r="K7" s="22"/>
      <c r="L7" s="22"/>
    </row>
    <row r="8" customFormat="false" ht="57.75" hidden="false" customHeight="true" outlineLevel="0" collapsed="false">
      <c r="A8" s="18" t="s">
        <v>104</v>
      </c>
      <c r="B8" s="19" t="s">
        <v>27</v>
      </c>
      <c r="C8" s="19" t="s">
        <v>28</v>
      </c>
      <c r="D8" s="19" t="s">
        <v>105</v>
      </c>
      <c r="E8" s="19" t="s">
        <v>106</v>
      </c>
      <c r="F8" s="21" t="s">
        <v>107</v>
      </c>
      <c r="G8" s="19" t="s">
        <v>108</v>
      </c>
      <c r="H8" s="19" t="s">
        <v>109</v>
      </c>
      <c r="I8" s="22" t="s">
        <v>26</v>
      </c>
      <c r="J8" s="22"/>
      <c r="K8" s="22"/>
      <c r="L8" s="22"/>
    </row>
    <row r="9" customFormat="false" ht="57.75" hidden="false" customHeight="true" outlineLevel="0" collapsed="false">
      <c r="A9" s="18" t="s">
        <v>110</v>
      </c>
      <c r="B9" s="19" t="s">
        <v>27</v>
      </c>
      <c r="C9" s="19" t="s">
        <v>28</v>
      </c>
      <c r="D9" s="19" t="s">
        <v>105</v>
      </c>
      <c r="E9" s="19" t="s">
        <v>111</v>
      </c>
      <c r="F9" s="21" t="s">
        <v>112</v>
      </c>
      <c r="G9" s="19" t="s">
        <v>113</v>
      </c>
      <c r="H9" s="19" t="s">
        <v>114</v>
      </c>
      <c r="I9" s="22" t="s">
        <v>26</v>
      </c>
      <c r="J9" s="22"/>
      <c r="K9" s="22"/>
      <c r="L9" s="22"/>
    </row>
    <row r="10" customFormat="false" ht="57.75" hidden="false" customHeight="true" outlineLevel="0" collapsed="false">
      <c r="A10" s="18" t="s">
        <v>115</v>
      </c>
      <c r="B10" s="19" t="s">
        <v>27</v>
      </c>
      <c r="C10" s="19" t="s">
        <v>28</v>
      </c>
      <c r="D10" s="19" t="s">
        <v>105</v>
      </c>
      <c r="E10" s="19" t="s">
        <v>116</v>
      </c>
      <c r="F10" s="21" t="s">
        <v>117</v>
      </c>
      <c r="G10" s="19" t="s">
        <v>118</v>
      </c>
      <c r="H10" s="19" t="s">
        <v>119</v>
      </c>
      <c r="I10" s="22" t="s">
        <v>26</v>
      </c>
      <c r="J10" s="22"/>
      <c r="K10" s="22"/>
      <c r="L10" s="22"/>
    </row>
    <row r="11" customFormat="false" ht="57.75" hidden="false" customHeight="true" outlineLevel="0" collapsed="false">
      <c r="A11" s="18" t="s">
        <v>120</v>
      </c>
      <c r="B11" s="19" t="s">
        <v>27</v>
      </c>
      <c r="C11" s="19" t="s">
        <v>28</v>
      </c>
      <c r="D11" s="19" t="s">
        <v>105</v>
      </c>
      <c r="E11" s="19" t="s">
        <v>121</v>
      </c>
      <c r="F11" s="21" t="s">
        <v>122</v>
      </c>
      <c r="G11" s="19" t="s">
        <v>123</v>
      </c>
      <c r="H11" s="19" t="s">
        <v>124</v>
      </c>
      <c r="I11" s="22" t="s">
        <v>26</v>
      </c>
      <c r="J11" s="22"/>
      <c r="K11" s="22"/>
      <c r="L11" s="22"/>
    </row>
    <row r="12" customFormat="false" ht="57.75" hidden="false" customHeight="true" outlineLevel="0" collapsed="false">
      <c r="A12" s="18" t="s">
        <v>125</v>
      </c>
      <c r="B12" s="19" t="s">
        <v>27</v>
      </c>
      <c r="C12" s="19" t="s">
        <v>28</v>
      </c>
      <c r="D12" s="19" t="s">
        <v>105</v>
      </c>
      <c r="E12" s="19" t="s">
        <v>126</v>
      </c>
      <c r="F12" s="21" t="s">
        <v>127</v>
      </c>
      <c r="G12" s="19" t="s">
        <v>128</v>
      </c>
      <c r="H12" s="19" t="s">
        <v>129</v>
      </c>
      <c r="I12" s="22" t="s">
        <v>26</v>
      </c>
      <c r="J12" s="22"/>
      <c r="K12" s="22"/>
      <c r="L12" s="22"/>
    </row>
    <row r="13" customFormat="false" ht="57.75" hidden="false" customHeight="true" outlineLevel="0" collapsed="false">
      <c r="A13" s="18" t="s">
        <v>130</v>
      </c>
      <c r="B13" s="19" t="s">
        <v>27</v>
      </c>
      <c r="C13" s="19" t="s">
        <v>28</v>
      </c>
      <c r="D13" s="19" t="s">
        <v>105</v>
      </c>
      <c r="E13" s="19" t="s">
        <v>131</v>
      </c>
      <c r="F13" s="21" t="s">
        <v>132</v>
      </c>
      <c r="G13" s="19" t="s">
        <v>133</v>
      </c>
      <c r="H13" s="19" t="s">
        <v>134</v>
      </c>
      <c r="I13" s="22" t="s">
        <v>26</v>
      </c>
      <c r="J13" s="22"/>
      <c r="K13" s="22"/>
      <c r="L13" s="22"/>
    </row>
    <row r="14" customFormat="false" ht="57.75" hidden="false" customHeight="true" outlineLevel="0" collapsed="false">
      <c r="A14" s="18" t="s">
        <v>135</v>
      </c>
      <c r="B14" s="19" t="s">
        <v>27</v>
      </c>
      <c r="C14" s="19" t="s">
        <v>28</v>
      </c>
      <c r="D14" s="19" t="s">
        <v>136</v>
      </c>
      <c r="E14" s="19" t="s">
        <v>137</v>
      </c>
      <c r="F14" s="21" t="s">
        <v>138</v>
      </c>
      <c r="G14" s="19" t="s">
        <v>139</v>
      </c>
      <c r="H14" s="19" t="s">
        <v>140</v>
      </c>
      <c r="I14" s="22" t="s">
        <v>26</v>
      </c>
      <c r="J14" s="22"/>
      <c r="K14" s="22"/>
      <c r="L14" s="22"/>
    </row>
    <row r="15" customFormat="false" ht="57.75" hidden="false" customHeight="true" outlineLevel="0" collapsed="false">
      <c r="A15" s="18" t="s">
        <v>141</v>
      </c>
      <c r="B15" s="19" t="s">
        <v>27</v>
      </c>
      <c r="C15" s="19" t="s">
        <v>28</v>
      </c>
      <c r="D15" s="19" t="s">
        <v>136</v>
      </c>
      <c r="E15" s="19" t="s">
        <v>142</v>
      </c>
      <c r="F15" s="21" t="s">
        <v>143</v>
      </c>
      <c r="G15" s="19" t="s">
        <v>144</v>
      </c>
      <c r="H15" s="19" t="s">
        <v>145</v>
      </c>
      <c r="I15" s="22" t="s">
        <v>26</v>
      </c>
      <c r="J15" s="22"/>
      <c r="K15" s="22"/>
      <c r="L15" s="22"/>
    </row>
    <row r="16" customFormat="false" ht="57.75" hidden="false" customHeight="true" outlineLevel="0" collapsed="false">
      <c r="A16" s="18" t="s">
        <v>146</v>
      </c>
      <c r="B16" s="19" t="s">
        <v>29</v>
      </c>
      <c r="C16" s="19" t="s">
        <v>30</v>
      </c>
      <c r="D16" s="20" t="s">
        <v>74</v>
      </c>
      <c r="E16" s="19" t="s">
        <v>147</v>
      </c>
      <c r="F16" s="21" t="s">
        <v>148</v>
      </c>
      <c r="G16" s="19" t="s">
        <v>149</v>
      </c>
      <c r="H16" s="19" t="s">
        <v>150</v>
      </c>
      <c r="I16" s="22" t="s">
        <v>26</v>
      </c>
      <c r="J16" s="22"/>
      <c r="K16" s="22"/>
      <c r="L16" s="22"/>
    </row>
    <row r="17" customFormat="false" ht="57.75" hidden="false" customHeight="true" outlineLevel="0" collapsed="false">
      <c r="A17" s="18" t="s">
        <v>151</v>
      </c>
      <c r="B17" s="19" t="s">
        <v>29</v>
      </c>
      <c r="C17" s="19" t="s">
        <v>30</v>
      </c>
      <c r="D17" s="20" t="s">
        <v>74</v>
      </c>
      <c r="E17" s="19" t="s">
        <v>152</v>
      </c>
      <c r="F17" s="21" t="s">
        <v>153</v>
      </c>
      <c r="G17" s="19" t="s">
        <v>154</v>
      </c>
      <c r="H17" s="19" t="s">
        <v>155</v>
      </c>
      <c r="I17" s="22" t="s">
        <v>26</v>
      </c>
      <c r="J17" s="22"/>
      <c r="K17" s="22"/>
      <c r="L17" s="22"/>
    </row>
    <row r="18" customFormat="false" ht="57.75" hidden="false" customHeight="true" outlineLevel="0" collapsed="false">
      <c r="A18" s="18" t="s">
        <v>156</v>
      </c>
      <c r="B18" s="19" t="s">
        <v>29</v>
      </c>
      <c r="C18" s="19" t="s">
        <v>30</v>
      </c>
      <c r="D18" s="20" t="s">
        <v>74</v>
      </c>
      <c r="E18" s="19" t="s">
        <v>157</v>
      </c>
      <c r="F18" s="21" t="s">
        <v>158</v>
      </c>
      <c r="G18" s="19" t="s">
        <v>159</v>
      </c>
      <c r="H18" s="19" t="s">
        <v>160</v>
      </c>
      <c r="I18" s="22" t="s">
        <v>26</v>
      </c>
      <c r="J18" s="22"/>
      <c r="K18" s="22"/>
      <c r="L18" s="22"/>
    </row>
    <row r="19" customFormat="false" ht="57.75" hidden="false" customHeight="true" outlineLevel="0" collapsed="false">
      <c r="A19" s="18" t="s">
        <v>161</v>
      </c>
      <c r="B19" s="19" t="s">
        <v>29</v>
      </c>
      <c r="C19" s="19" t="s">
        <v>30</v>
      </c>
      <c r="D19" s="19" t="s">
        <v>105</v>
      </c>
      <c r="E19" s="19" t="s">
        <v>162</v>
      </c>
      <c r="F19" s="21" t="s">
        <v>163</v>
      </c>
      <c r="G19" s="19" t="s">
        <v>164</v>
      </c>
      <c r="H19" s="19" t="s">
        <v>165</v>
      </c>
      <c r="I19" s="22" t="s">
        <v>26</v>
      </c>
      <c r="J19" s="22"/>
      <c r="K19" s="22"/>
      <c r="L19" s="22"/>
    </row>
    <row r="20" customFormat="false" ht="57.75" hidden="false" customHeight="true" outlineLevel="0" collapsed="false">
      <c r="A20" s="18" t="s">
        <v>166</v>
      </c>
      <c r="B20" s="19" t="s">
        <v>29</v>
      </c>
      <c r="C20" s="19" t="s">
        <v>30</v>
      </c>
      <c r="D20" s="19" t="s">
        <v>105</v>
      </c>
      <c r="E20" s="19" t="s">
        <v>167</v>
      </c>
      <c r="F20" s="21" t="s">
        <v>168</v>
      </c>
      <c r="G20" s="19" t="s">
        <v>169</v>
      </c>
      <c r="H20" s="19" t="s">
        <v>170</v>
      </c>
      <c r="I20" s="22" t="s">
        <v>26</v>
      </c>
      <c r="J20" s="22"/>
      <c r="K20" s="22"/>
      <c r="L20" s="22"/>
    </row>
    <row r="21" customFormat="false" ht="57.75" hidden="false" customHeight="true" outlineLevel="0" collapsed="false">
      <c r="A21" s="18" t="s">
        <v>171</v>
      </c>
      <c r="B21" s="19" t="s">
        <v>29</v>
      </c>
      <c r="C21" s="19" t="s">
        <v>30</v>
      </c>
      <c r="D21" s="19" t="s">
        <v>105</v>
      </c>
      <c r="E21" s="19" t="s">
        <v>172</v>
      </c>
      <c r="F21" s="21" t="s">
        <v>173</v>
      </c>
      <c r="G21" s="19" t="s">
        <v>174</v>
      </c>
      <c r="H21" s="19" t="s">
        <v>175</v>
      </c>
      <c r="I21" s="22" t="s">
        <v>26</v>
      </c>
      <c r="J21" s="22"/>
      <c r="K21" s="22"/>
      <c r="L21" s="22"/>
    </row>
    <row r="22" customFormat="false" ht="57.75" hidden="false" customHeight="true" outlineLevel="0" collapsed="false">
      <c r="A22" s="18" t="s">
        <v>176</v>
      </c>
      <c r="B22" s="19" t="s">
        <v>29</v>
      </c>
      <c r="C22" s="19" t="s">
        <v>30</v>
      </c>
      <c r="D22" s="19" t="s">
        <v>136</v>
      </c>
      <c r="E22" s="19" t="s">
        <v>177</v>
      </c>
      <c r="F22" s="21" t="s">
        <v>178</v>
      </c>
      <c r="G22" s="19" t="s">
        <v>179</v>
      </c>
      <c r="H22" s="19" t="s">
        <v>180</v>
      </c>
      <c r="I22" s="22" t="s">
        <v>26</v>
      </c>
      <c r="J22" s="22"/>
      <c r="K22" s="22"/>
      <c r="L22" s="22"/>
    </row>
    <row r="23" customFormat="false" ht="57.75" hidden="false" customHeight="true" outlineLevel="0" collapsed="false">
      <c r="A23" s="18" t="s">
        <v>181</v>
      </c>
      <c r="B23" s="19" t="s">
        <v>29</v>
      </c>
      <c r="C23" s="19" t="s">
        <v>30</v>
      </c>
      <c r="D23" s="19" t="s">
        <v>136</v>
      </c>
      <c r="E23" s="19" t="s">
        <v>182</v>
      </c>
      <c r="F23" s="21" t="s">
        <v>183</v>
      </c>
      <c r="G23" s="19" t="s">
        <v>184</v>
      </c>
      <c r="H23" s="19" t="s">
        <v>185</v>
      </c>
      <c r="I23" s="22" t="s">
        <v>26</v>
      </c>
      <c r="J23" s="22"/>
      <c r="K23" s="22"/>
      <c r="L23" s="22"/>
    </row>
    <row r="24" customFormat="false" ht="57.75" hidden="false" customHeight="true" outlineLevel="0" collapsed="false">
      <c r="A24" s="18" t="s">
        <v>186</v>
      </c>
      <c r="B24" s="19" t="s">
        <v>31</v>
      </c>
      <c r="C24" s="19" t="s">
        <v>32</v>
      </c>
      <c r="D24" s="20" t="s">
        <v>74</v>
      </c>
      <c r="E24" s="19" t="s">
        <v>187</v>
      </c>
      <c r="F24" s="21" t="s">
        <v>188</v>
      </c>
      <c r="G24" s="19" t="s">
        <v>189</v>
      </c>
      <c r="H24" s="19" t="s">
        <v>190</v>
      </c>
      <c r="I24" s="22" t="s">
        <v>26</v>
      </c>
      <c r="J24" s="22"/>
      <c r="K24" s="22"/>
      <c r="L24" s="22"/>
    </row>
    <row r="25" customFormat="false" ht="57.75" hidden="false" customHeight="true" outlineLevel="0" collapsed="false">
      <c r="A25" s="18" t="s">
        <v>191</v>
      </c>
      <c r="B25" s="19" t="s">
        <v>31</v>
      </c>
      <c r="C25" s="19" t="s">
        <v>32</v>
      </c>
      <c r="D25" s="20" t="s">
        <v>74</v>
      </c>
      <c r="E25" s="19" t="s">
        <v>192</v>
      </c>
      <c r="F25" s="21" t="s">
        <v>193</v>
      </c>
      <c r="G25" s="19" t="s">
        <v>194</v>
      </c>
      <c r="H25" s="19" t="s">
        <v>195</v>
      </c>
      <c r="I25" s="22" t="s">
        <v>26</v>
      </c>
      <c r="J25" s="22"/>
      <c r="K25" s="22"/>
      <c r="L25" s="22"/>
    </row>
    <row r="26" customFormat="false" ht="57.75" hidden="false" customHeight="true" outlineLevel="0" collapsed="false">
      <c r="A26" s="18" t="s">
        <v>196</v>
      </c>
      <c r="B26" s="19" t="s">
        <v>31</v>
      </c>
      <c r="C26" s="19" t="s">
        <v>32</v>
      </c>
      <c r="D26" s="20" t="s">
        <v>74</v>
      </c>
      <c r="E26" s="19" t="s">
        <v>197</v>
      </c>
      <c r="F26" s="21" t="s">
        <v>198</v>
      </c>
      <c r="G26" s="19" t="s">
        <v>199</v>
      </c>
      <c r="H26" s="19" t="s">
        <v>200</v>
      </c>
      <c r="I26" s="22" t="s">
        <v>26</v>
      </c>
      <c r="J26" s="22"/>
      <c r="K26" s="22"/>
      <c r="L26" s="22"/>
    </row>
    <row r="27" customFormat="false" ht="57.75" hidden="false" customHeight="true" outlineLevel="0" collapsed="false">
      <c r="A27" s="18" t="s">
        <v>201</v>
      </c>
      <c r="B27" s="19" t="s">
        <v>31</v>
      </c>
      <c r="C27" s="19" t="s">
        <v>32</v>
      </c>
      <c r="D27" s="20" t="s">
        <v>74</v>
      </c>
      <c r="E27" s="19" t="s">
        <v>202</v>
      </c>
      <c r="F27" s="21" t="s">
        <v>203</v>
      </c>
      <c r="G27" s="19" t="s">
        <v>204</v>
      </c>
      <c r="H27" s="19" t="s">
        <v>205</v>
      </c>
      <c r="I27" s="22" t="s">
        <v>26</v>
      </c>
      <c r="J27" s="22"/>
      <c r="K27" s="22"/>
      <c r="L27" s="22"/>
    </row>
    <row r="28" customFormat="false" ht="57.75" hidden="false" customHeight="true" outlineLevel="0" collapsed="false">
      <c r="A28" s="18" t="s">
        <v>206</v>
      </c>
      <c r="B28" s="19" t="s">
        <v>31</v>
      </c>
      <c r="C28" s="19" t="s">
        <v>32</v>
      </c>
      <c r="D28" s="19" t="s">
        <v>105</v>
      </c>
      <c r="E28" s="19" t="s">
        <v>207</v>
      </c>
      <c r="F28" s="21" t="s">
        <v>208</v>
      </c>
      <c r="G28" s="19" t="s">
        <v>209</v>
      </c>
      <c r="H28" s="19" t="s">
        <v>210</v>
      </c>
      <c r="I28" s="22" t="s">
        <v>26</v>
      </c>
      <c r="J28" s="22"/>
      <c r="K28" s="22"/>
      <c r="L28" s="22"/>
    </row>
    <row r="29" customFormat="false" ht="57.75" hidden="false" customHeight="true" outlineLevel="0" collapsed="false">
      <c r="A29" s="18" t="s">
        <v>211</v>
      </c>
      <c r="B29" s="19" t="s">
        <v>31</v>
      </c>
      <c r="C29" s="19" t="s">
        <v>32</v>
      </c>
      <c r="D29" s="19" t="s">
        <v>105</v>
      </c>
      <c r="E29" s="19" t="s">
        <v>212</v>
      </c>
      <c r="F29" s="21" t="s">
        <v>213</v>
      </c>
      <c r="G29" s="19" t="s">
        <v>214</v>
      </c>
      <c r="H29" s="19" t="s">
        <v>215</v>
      </c>
      <c r="I29" s="22" t="s">
        <v>26</v>
      </c>
      <c r="J29" s="22"/>
      <c r="K29" s="22"/>
      <c r="L29" s="22"/>
    </row>
    <row r="30" customFormat="false" ht="57.75" hidden="false" customHeight="true" outlineLevel="0" collapsed="false">
      <c r="A30" s="18" t="s">
        <v>216</v>
      </c>
      <c r="B30" s="19" t="s">
        <v>31</v>
      </c>
      <c r="C30" s="19" t="s">
        <v>32</v>
      </c>
      <c r="D30" s="19" t="s">
        <v>105</v>
      </c>
      <c r="E30" s="19" t="s">
        <v>217</v>
      </c>
      <c r="F30" s="21" t="s">
        <v>218</v>
      </c>
      <c r="G30" s="19" t="s">
        <v>219</v>
      </c>
      <c r="H30" s="19" t="s">
        <v>220</v>
      </c>
      <c r="I30" s="22" t="s">
        <v>26</v>
      </c>
      <c r="J30" s="22"/>
      <c r="K30" s="22"/>
      <c r="L30" s="22"/>
    </row>
    <row r="31" customFormat="false" ht="57.75" hidden="false" customHeight="true" outlineLevel="0" collapsed="false">
      <c r="A31" s="18" t="s">
        <v>221</v>
      </c>
      <c r="B31" s="19" t="s">
        <v>31</v>
      </c>
      <c r="C31" s="19" t="s">
        <v>32</v>
      </c>
      <c r="D31" s="19" t="s">
        <v>136</v>
      </c>
      <c r="E31" s="19" t="s">
        <v>222</v>
      </c>
      <c r="F31" s="21" t="s">
        <v>223</v>
      </c>
      <c r="G31" s="19" t="s">
        <v>224</v>
      </c>
      <c r="H31" s="19" t="s">
        <v>225</v>
      </c>
      <c r="I31" s="22" t="s">
        <v>26</v>
      </c>
      <c r="J31" s="22"/>
      <c r="K31" s="22"/>
      <c r="L31" s="22"/>
    </row>
    <row r="32" customFormat="false" ht="57.75" hidden="false" customHeight="true" outlineLevel="0" collapsed="false">
      <c r="A32" s="18" t="s">
        <v>226</v>
      </c>
      <c r="B32" s="19" t="s">
        <v>34</v>
      </c>
      <c r="C32" s="19" t="s">
        <v>35</v>
      </c>
      <c r="D32" s="20" t="s">
        <v>74</v>
      </c>
      <c r="E32" s="19" t="s">
        <v>227</v>
      </c>
      <c r="F32" s="21" t="s">
        <v>228</v>
      </c>
      <c r="G32" s="19" t="s">
        <v>229</v>
      </c>
      <c r="H32" s="19" t="s">
        <v>230</v>
      </c>
      <c r="I32" s="22" t="s">
        <v>26</v>
      </c>
      <c r="J32" s="22"/>
      <c r="K32" s="22"/>
      <c r="L32" s="22"/>
    </row>
    <row r="33" customFormat="false" ht="57.75" hidden="false" customHeight="true" outlineLevel="0" collapsed="false">
      <c r="A33" s="18" t="s">
        <v>231</v>
      </c>
      <c r="B33" s="19" t="s">
        <v>34</v>
      </c>
      <c r="C33" s="19" t="s">
        <v>35</v>
      </c>
      <c r="D33" s="20" t="s">
        <v>74</v>
      </c>
      <c r="E33" s="19" t="s">
        <v>232</v>
      </c>
      <c r="F33" s="21" t="s">
        <v>233</v>
      </c>
      <c r="G33" s="19" t="s">
        <v>234</v>
      </c>
      <c r="H33" s="19" t="s">
        <v>235</v>
      </c>
      <c r="I33" s="22" t="s">
        <v>26</v>
      </c>
      <c r="J33" s="22"/>
      <c r="K33" s="22"/>
      <c r="L33" s="22"/>
    </row>
    <row r="34" customFormat="false" ht="57.75" hidden="false" customHeight="true" outlineLevel="0" collapsed="false">
      <c r="A34" s="18" t="s">
        <v>236</v>
      </c>
      <c r="B34" s="19" t="s">
        <v>34</v>
      </c>
      <c r="C34" s="19" t="s">
        <v>35</v>
      </c>
      <c r="D34" s="20" t="s">
        <v>74</v>
      </c>
      <c r="E34" s="19" t="s">
        <v>232</v>
      </c>
      <c r="F34" s="21" t="s">
        <v>237</v>
      </c>
      <c r="G34" s="19" t="s">
        <v>238</v>
      </c>
      <c r="H34" s="19" t="s">
        <v>239</v>
      </c>
      <c r="I34" s="22" t="s">
        <v>26</v>
      </c>
      <c r="J34" s="22"/>
      <c r="K34" s="22"/>
      <c r="L34" s="22"/>
    </row>
    <row r="35" customFormat="false" ht="57.75" hidden="false" customHeight="true" outlineLevel="0" collapsed="false">
      <c r="A35" s="18" t="s">
        <v>240</v>
      </c>
      <c r="B35" s="19" t="s">
        <v>34</v>
      </c>
      <c r="C35" s="19" t="s">
        <v>35</v>
      </c>
      <c r="D35" s="20" t="s">
        <v>74</v>
      </c>
      <c r="E35" s="19" t="s">
        <v>241</v>
      </c>
      <c r="F35" s="21" t="s">
        <v>242</v>
      </c>
      <c r="G35" s="19" t="s">
        <v>243</v>
      </c>
      <c r="H35" s="19" t="s">
        <v>244</v>
      </c>
      <c r="I35" s="22" t="s">
        <v>26</v>
      </c>
      <c r="J35" s="22"/>
      <c r="K35" s="22"/>
      <c r="L35" s="22"/>
    </row>
    <row r="36" customFormat="false" ht="57.75" hidden="false" customHeight="true" outlineLevel="0" collapsed="false">
      <c r="A36" s="18" t="s">
        <v>245</v>
      </c>
      <c r="B36" s="19" t="s">
        <v>34</v>
      </c>
      <c r="C36" s="19" t="s">
        <v>35</v>
      </c>
      <c r="D36" s="20" t="s">
        <v>74</v>
      </c>
      <c r="E36" s="19" t="s">
        <v>246</v>
      </c>
      <c r="F36" s="21" t="s">
        <v>247</v>
      </c>
      <c r="G36" s="19" t="s">
        <v>248</v>
      </c>
      <c r="H36" s="19" t="s">
        <v>249</v>
      </c>
      <c r="I36" s="22" t="s">
        <v>26</v>
      </c>
      <c r="J36" s="22"/>
      <c r="K36" s="22"/>
      <c r="L36" s="22"/>
    </row>
    <row r="37" customFormat="false" ht="57.75" hidden="false" customHeight="true" outlineLevel="0" collapsed="false">
      <c r="A37" s="18" t="s">
        <v>250</v>
      </c>
      <c r="B37" s="19" t="s">
        <v>34</v>
      </c>
      <c r="C37" s="19" t="s">
        <v>35</v>
      </c>
      <c r="D37" s="19" t="s">
        <v>105</v>
      </c>
      <c r="E37" s="19" t="s">
        <v>232</v>
      </c>
      <c r="F37" s="21" t="s">
        <v>251</v>
      </c>
      <c r="G37" s="19" t="s">
        <v>252</v>
      </c>
      <c r="H37" s="19" t="s">
        <v>253</v>
      </c>
      <c r="I37" s="22" t="s">
        <v>26</v>
      </c>
      <c r="J37" s="22"/>
      <c r="K37" s="22"/>
      <c r="L37" s="22"/>
    </row>
    <row r="38" customFormat="false" ht="57.75" hidden="false" customHeight="true" outlineLevel="0" collapsed="false">
      <c r="A38" s="18" t="s">
        <v>254</v>
      </c>
      <c r="B38" s="19" t="s">
        <v>34</v>
      </c>
      <c r="C38" s="19" t="s">
        <v>35</v>
      </c>
      <c r="D38" s="19" t="s">
        <v>105</v>
      </c>
      <c r="E38" s="19" t="s">
        <v>255</v>
      </c>
      <c r="F38" s="21" t="s">
        <v>256</v>
      </c>
      <c r="G38" s="19" t="s">
        <v>257</v>
      </c>
      <c r="H38" s="19" t="s">
        <v>258</v>
      </c>
      <c r="I38" s="22" t="s">
        <v>26</v>
      </c>
      <c r="J38" s="22"/>
      <c r="K38" s="22"/>
      <c r="L38" s="22"/>
    </row>
    <row r="39" customFormat="false" ht="57.75" hidden="false" customHeight="true" outlineLevel="0" collapsed="false">
      <c r="A39" s="18" t="s">
        <v>259</v>
      </c>
      <c r="B39" s="19" t="s">
        <v>34</v>
      </c>
      <c r="C39" s="19" t="s">
        <v>35</v>
      </c>
      <c r="D39" s="19" t="s">
        <v>105</v>
      </c>
      <c r="E39" s="19" t="s">
        <v>260</v>
      </c>
      <c r="F39" s="21" t="s">
        <v>261</v>
      </c>
      <c r="G39" s="19" t="s">
        <v>262</v>
      </c>
      <c r="H39" s="19" t="s">
        <v>263</v>
      </c>
      <c r="I39" s="22" t="s">
        <v>26</v>
      </c>
      <c r="J39" s="22"/>
      <c r="K39" s="22"/>
      <c r="L39" s="22"/>
    </row>
    <row r="40" customFormat="false" ht="57.75" hidden="false" customHeight="true" outlineLevel="0" collapsed="false">
      <c r="A40" s="18" t="s">
        <v>264</v>
      </c>
      <c r="B40" s="19" t="s">
        <v>34</v>
      </c>
      <c r="C40" s="19" t="s">
        <v>35</v>
      </c>
      <c r="D40" s="19" t="s">
        <v>105</v>
      </c>
      <c r="E40" s="19" t="s">
        <v>265</v>
      </c>
      <c r="F40" s="21" t="s">
        <v>266</v>
      </c>
      <c r="G40" s="19" t="s">
        <v>267</v>
      </c>
      <c r="H40" s="19" t="s">
        <v>268</v>
      </c>
      <c r="I40" s="22" t="s">
        <v>26</v>
      </c>
      <c r="J40" s="22"/>
      <c r="K40" s="22"/>
      <c r="L40" s="22"/>
    </row>
    <row r="41" customFormat="false" ht="57.75" hidden="false" customHeight="true" outlineLevel="0" collapsed="false">
      <c r="A41" s="18" t="s">
        <v>269</v>
      </c>
      <c r="B41" s="19" t="s">
        <v>34</v>
      </c>
      <c r="C41" s="19" t="s">
        <v>35</v>
      </c>
      <c r="D41" s="19" t="s">
        <v>105</v>
      </c>
      <c r="E41" s="19" t="s">
        <v>270</v>
      </c>
      <c r="F41" s="21" t="s">
        <v>271</v>
      </c>
      <c r="G41" s="19" t="s">
        <v>272</v>
      </c>
      <c r="H41" s="19" t="s">
        <v>273</v>
      </c>
      <c r="I41" s="22" t="s">
        <v>26</v>
      </c>
      <c r="J41" s="22"/>
      <c r="K41" s="22"/>
      <c r="L41" s="22"/>
    </row>
    <row r="42" customFormat="false" ht="57.75" hidden="false" customHeight="true" outlineLevel="0" collapsed="false">
      <c r="A42" s="18" t="s">
        <v>274</v>
      </c>
      <c r="B42" s="19" t="s">
        <v>34</v>
      </c>
      <c r="C42" s="19" t="s">
        <v>35</v>
      </c>
      <c r="D42" s="19" t="s">
        <v>105</v>
      </c>
      <c r="E42" s="19" t="s">
        <v>275</v>
      </c>
      <c r="F42" s="21" t="s">
        <v>276</v>
      </c>
      <c r="G42" s="19" t="s">
        <v>277</v>
      </c>
      <c r="H42" s="19" t="s">
        <v>278</v>
      </c>
      <c r="I42" s="22" t="s">
        <v>26</v>
      </c>
      <c r="J42" s="22"/>
      <c r="K42" s="22"/>
      <c r="L42" s="22"/>
    </row>
    <row r="43" customFormat="false" ht="57.75" hidden="false" customHeight="true" outlineLevel="0" collapsed="false">
      <c r="A43" s="18" t="s">
        <v>279</v>
      </c>
      <c r="B43" s="19" t="s">
        <v>34</v>
      </c>
      <c r="C43" s="19" t="s">
        <v>35</v>
      </c>
      <c r="D43" s="19" t="s">
        <v>136</v>
      </c>
      <c r="E43" s="19" t="s">
        <v>280</v>
      </c>
      <c r="F43" s="21" t="s">
        <v>281</v>
      </c>
      <c r="G43" s="19" t="s">
        <v>282</v>
      </c>
      <c r="H43" s="19" t="s">
        <v>283</v>
      </c>
      <c r="I43" s="22" t="s">
        <v>26</v>
      </c>
      <c r="J43" s="22"/>
      <c r="K43" s="22"/>
      <c r="L43" s="22"/>
    </row>
    <row r="44" customFormat="false" ht="57.75" hidden="false" customHeight="true" outlineLevel="0" collapsed="false">
      <c r="A44" s="18" t="s">
        <v>284</v>
      </c>
      <c r="B44" s="19" t="s">
        <v>37</v>
      </c>
      <c r="C44" s="19" t="s">
        <v>38</v>
      </c>
      <c r="D44" s="20" t="s">
        <v>74</v>
      </c>
      <c r="E44" s="19" t="s">
        <v>285</v>
      </c>
      <c r="F44" s="21" t="s">
        <v>286</v>
      </c>
      <c r="G44" s="19" t="s">
        <v>287</v>
      </c>
      <c r="H44" s="19" t="s">
        <v>288</v>
      </c>
      <c r="I44" s="22" t="s">
        <v>26</v>
      </c>
      <c r="J44" s="22"/>
      <c r="K44" s="22"/>
      <c r="L44" s="22"/>
    </row>
    <row r="45" customFormat="false" ht="57.75" hidden="false" customHeight="true" outlineLevel="0" collapsed="false">
      <c r="A45" s="18" t="s">
        <v>289</v>
      </c>
      <c r="B45" s="19" t="s">
        <v>37</v>
      </c>
      <c r="C45" s="19" t="s">
        <v>38</v>
      </c>
      <c r="D45" s="20" t="s">
        <v>74</v>
      </c>
      <c r="E45" s="19" t="s">
        <v>290</v>
      </c>
      <c r="F45" s="21" t="s">
        <v>291</v>
      </c>
      <c r="G45" s="19" t="s">
        <v>292</v>
      </c>
      <c r="H45" s="19" t="s">
        <v>293</v>
      </c>
      <c r="I45" s="22" t="s">
        <v>26</v>
      </c>
      <c r="J45" s="22"/>
      <c r="K45" s="22"/>
      <c r="L45" s="22"/>
    </row>
    <row r="46" customFormat="false" ht="57.75" hidden="false" customHeight="true" outlineLevel="0" collapsed="false">
      <c r="A46" s="18" t="s">
        <v>294</v>
      </c>
      <c r="B46" s="19" t="s">
        <v>37</v>
      </c>
      <c r="C46" s="19" t="s">
        <v>38</v>
      </c>
      <c r="D46" s="20" t="s">
        <v>74</v>
      </c>
      <c r="E46" s="19" t="s">
        <v>295</v>
      </c>
      <c r="F46" s="21" t="s">
        <v>296</v>
      </c>
      <c r="G46" s="19" t="s">
        <v>297</v>
      </c>
      <c r="H46" s="19" t="s">
        <v>298</v>
      </c>
      <c r="I46" s="22" t="s">
        <v>26</v>
      </c>
      <c r="J46" s="22"/>
      <c r="K46" s="22"/>
      <c r="L46" s="22"/>
    </row>
    <row r="47" customFormat="false" ht="57.75" hidden="false" customHeight="true" outlineLevel="0" collapsed="false">
      <c r="A47" s="18" t="s">
        <v>299</v>
      </c>
      <c r="B47" s="19" t="s">
        <v>37</v>
      </c>
      <c r="C47" s="19" t="s">
        <v>38</v>
      </c>
      <c r="D47" s="20" t="s">
        <v>74</v>
      </c>
      <c r="E47" s="19" t="s">
        <v>300</v>
      </c>
      <c r="F47" s="21" t="s">
        <v>301</v>
      </c>
      <c r="G47" s="19" t="s">
        <v>302</v>
      </c>
      <c r="H47" s="19" t="s">
        <v>303</v>
      </c>
      <c r="I47" s="22" t="s">
        <v>26</v>
      </c>
      <c r="J47" s="22"/>
      <c r="K47" s="22"/>
      <c r="L47" s="22"/>
    </row>
    <row r="48" customFormat="false" ht="57.75" hidden="false" customHeight="true" outlineLevel="0" collapsed="false">
      <c r="A48" s="18" t="s">
        <v>304</v>
      </c>
      <c r="B48" s="19" t="s">
        <v>37</v>
      </c>
      <c r="C48" s="19" t="s">
        <v>38</v>
      </c>
      <c r="D48" s="19" t="s">
        <v>105</v>
      </c>
      <c r="E48" s="19" t="s">
        <v>305</v>
      </c>
      <c r="F48" s="21" t="s">
        <v>306</v>
      </c>
      <c r="G48" s="19" t="s">
        <v>307</v>
      </c>
      <c r="H48" s="19" t="s">
        <v>308</v>
      </c>
      <c r="I48" s="22" t="s">
        <v>26</v>
      </c>
      <c r="J48" s="22"/>
      <c r="K48" s="22"/>
      <c r="L48" s="22"/>
    </row>
    <row r="49" customFormat="false" ht="57.75" hidden="false" customHeight="true" outlineLevel="0" collapsed="false">
      <c r="A49" s="18" t="s">
        <v>309</v>
      </c>
      <c r="B49" s="19" t="s">
        <v>37</v>
      </c>
      <c r="C49" s="19" t="s">
        <v>38</v>
      </c>
      <c r="D49" s="19" t="s">
        <v>105</v>
      </c>
      <c r="E49" s="19" t="s">
        <v>310</v>
      </c>
      <c r="F49" s="21" t="s">
        <v>311</v>
      </c>
      <c r="G49" s="19" t="s">
        <v>312</v>
      </c>
      <c r="H49" s="19" t="s">
        <v>313</v>
      </c>
      <c r="I49" s="22" t="s">
        <v>26</v>
      </c>
      <c r="J49" s="22"/>
      <c r="K49" s="22"/>
      <c r="L49" s="22"/>
    </row>
    <row r="50" customFormat="false" ht="57.75" hidden="false" customHeight="true" outlineLevel="0" collapsed="false">
      <c r="A50" s="18" t="s">
        <v>314</v>
      </c>
      <c r="B50" s="19" t="s">
        <v>37</v>
      </c>
      <c r="C50" s="19" t="s">
        <v>38</v>
      </c>
      <c r="D50" s="19" t="s">
        <v>105</v>
      </c>
      <c r="E50" s="19" t="s">
        <v>315</v>
      </c>
      <c r="F50" s="21" t="s">
        <v>316</v>
      </c>
      <c r="G50" s="19" t="s">
        <v>317</v>
      </c>
      <c r="H50" s="19" t="s">
        <v>318</v>
      </c>
      <c r="I50" s="22" t="s">
        <v>26</v>
      </c>
      <c r="J50" s="22"/>
      <c r="K50" s="22"/>
      <c r="L50" s="22"/>
    </row>
    <row r="51" customFormat="false" ht="57.75" hidden="false" customHeight="true" outlineLevel="0" collapsed="false">
      <c r="A51" s="18" t="s">
        <v>319</v>
      </c>
      <c r="B51" s="19" t="s">
        <v>37</v>
      </c>
      <c r="C51" s="19" t="s">
        <v>38</v>
      </c>
      <c r="D51" s="19" t="s">
        <v>136</v>
      </c>
      <c r="E51" s="19" t="s">
        <v>137</v>
      </c>
      <c r="F51" s="21" t="s">
        <v>320</v>
      </c>
      <c r="G51" s="19" t="s">
        <v>321</v>
      </c>
      <c r="H51" s="19" t="s">
        <v>322</v>
      </c>
      <c r="I51" s="22" t="s">
        <v>26</v>
      </c>
      <c r="J51" s="22"/>
      <c r="K51" s="22"/>
      <c r="L51" s="22"/>
    </row>
    <row r="52" customFormat="false" ht="57.75" hidden="false" customHeight="true" outlineLevel="0" collapsed="false">
      <c r="A52" s="18" t="s">
        <v>323</v>
      </c>
      <c r="B52" s="19" t="s">
        <v>40</v>
      </c>
      <c r="C52" s="19" t="s">
        <v>41</v>
      </c>
      <c r="D52" s="20" t="s">
        <v>74</v>
      </c>
      <c r="E52" s="19" t="s">
        <v>324</v>
      </c>
      <c r="F52" s="21" t="s">
        <v>325</v>
      </c>
      <c r="G52" s="19" t="s">
        <v>326</v>
      </c>
      <c r="H52" s="19" t="s">
        <v>327</v>
      </c>
      <c r="I52" s="22" t="s">
        <v>26</v>
      </c>
      <c r="J52" s="22"/>
      <c r="K52" s="22"/>
      <c r="L52" s="22"/>
    </row>
    <row r="53" customFormat="false" ht="57.75" hidden="false" customHeight="true" outlineLevel="0" collapsed="false">
      <c r="A53" s="18" t="s">
        <v>328</v>
      </c>
      <c r="B53" s="19" t="s">
        <v>40</v>
      </c>
      <c r="C53" s="19" t="s">
        <v>41</v>
      </c>
      <c r="D53" s="20" t="s">
        <v>74</v>
      </c>
      <c r="E53" s="19" t="s">
        <v>329</v>
      </c>
      <c r="F53" s="21" t="s">
        <v>330</v>
      </c>
      <c r="G53" s="19" t="s">
        <v>331</v>
      </c>
      <c r="H53" s="19" t="s">
        <v>332</v>
      </c>
      <c r="I53" s="22" t="s">
        <v>26</v>
      </c>
      <c r="J53" s="22"/>
      <c r="K53" s="22"/>
      <c r="L53" s="22"/>
    </row>
    <row r="54" customFormat="false" ht="57.75" hidden="false" customHeight="true" outlineLevel="0" collapsed="false">
      <c r="A54" s="18" t="s">
        <v>333</v>
      </c>
      <c r="B54" s="19" t="s">
        <v>40</v>
      </c>
      <c r="C54" s="19" t="s">
        <v>41</v>
      </c>
      <c r="D54" s="20" t="s">
        <v>74</v>
      </c>
      <c r="E54" s="19" t="s">
        <v>334</v>
      </c>
      <c r="F54" s="21" t="s">
        <v>335</v>
      </c>
      <c r="G54" s="19" t="s">
        <v>336</v>
      </c>
      <c r="H54" s="19" t="s">
        <v>337</v>
      </c>
      <c r="I54" s="22" t="s">
        <v>26</v>
      </c>
      <c r="J54" s="22"/>
      <c r="K54" s="22"/>
      <c r="L54" s="22"/>
    </row>
    <row r="55" customFormat="false" ht="57.75" hidden="false" customHeight="true" outlineLevel="0" collapsed="false">
      <c r="A55" s="18" t="s">
        <v>338</v>
      </c>
      <c r="B55" s="19" t="s">
        <v>40</v>
      </c>
      <c r="C55" s="19" t="s">
        <v>41</v>
      </c>
      <c r="D55" s="20" t="s">
        <v>74</v>
      </c>
      <c r="E55" s="19" t="s">
        <v>339</v>
      </c>
      <c r="F55" s="21" t="s">
        <v>340</v>
      </c>
      <c r="G55" s="19" t="s">
        <v>341</v>
      </c>
      <c r="H55" s="19" t="s">
        <v>342</v>
      </c>
      <c r="I55" s="22" t="s">
        <v>26</v>
      </c>
      <c r="J55" s="22"/>
      <c r="K55" s="22"/>
      <c r="L55" s="22"/>
    </row>
    <row r="56" customFormat="false" ht="57.75" hidden="false" customHeight="true" outlineLevel="0" collapsed="false">
      <c r="A56" s="18" t="s">
        <v>343</v>
      </c>
      <c r="B56" s="19" t="s">
        <v>40</v>
      </c>
      <c r="C56" s="19" t="s">
        <v>41</v>
      </c>
      <c r="D56" s="20" t="s">
        <v>74</v>
      </c>
      <c r="E56" s="19" t="s">
        <v>339</v>
      </c>
      <c r="F56" s="21" t="s">
        <v>344</v>
      </c>
      <c r="G56" s="19" t="s">
        <v>345</v>
      </c>
      <c r="H56" s="19" t="s">
        <v>346</v>
      </c>
      <c r="I56" s="22" t="s">
        <v>26</v>
      </c>
      <c r="J56" s="22"/>
      <c r="K56" s="22"/>
      <c r="L56" s="22"/>
    </row>
    <row r="57" customFormat="false" ht="57.75" hidden="false" customHeight="true" outlineLevel="0" collapsed="false">
      <c r="A57" s="18" t="s">
        <v>347</v>
      </c>
      <c r="B57" s="19" t="s">
        <v>40</v>
      </c>
      <c r="C57" s="19" t="s">
        <v>41</v>
      </c>
      <c r="D57" s="19" t="s">
        <v>105</v>
      </c>
      <c r="E57" s="19" t="s">
        <v>348</v>
      </c>
      <c r="F57" s="21" t="s">
        <v>349</v>
      </c>
      <c r="G57" s="19" t="s">
        <v>350</v>
      </c>
      <c r="H57" s="19" t="s">
        <v>351</v>
      </c>
      <c r="I57" s="22" t="s">
        <v>26</v>
      </c>
      <c r="J57" s="22"/>
      <c r="K57" s="22"/>
      <c r="L57" s="22"/>
    </row>
    <row r="58" customFormat="false" ht="57.75" hidden="false" customHeight="true" outlineLevel="0" collapsed="false">
      <c r="A58" s="18" t="s">
        <v>352</v>
      </c>
      <c r="B58" s="19" t="s">
        <v>40</v>
      </c>
      <c r="C58" s="19" t="s">
        <v>41</v>
      </c>
      <c r="D58" s="19" t="s">
        <v>105</v>
      </c>
      <c r="E58" s="19" t="s">
        <v>353</v>
      </c>
      <c r="F58" s="21" t="s">
        <v>354</v>
      </c>
      <c r="G58" s="19" t="s">
        <v>355</v>
      </c>
      <c r="H58" s="19" t="s">
        <v>356</v>
      </c>
      <c r="I58" s="22" t="s">
        <v>26</v>
      </c>
      <c r="J58" s="22"/>
      <c r="K58" s="22"/>
      <c r="L58" s="22"/>
    </row>
    <row r="59" customFormat="false" ht="57.75" hidden="false" customHeight="true" outlineLevel="0" collapsed="false">
      <c r="A59" s="18" t="s">
        <v>357</v>
      </c>
      <c r="B59" s="19" t="s">
        <v>40</v>
      </c>
      <c r="C59" s="19" t="s">
        <v>41</v>
      </c>
      <c r="D59" s="19" t="s">
        <v>105</v>
      </c>
      <c r="E59" s="19" t="s">
        <v>358</v>
      </c>
      <c r="F59" s="21" t="s">
        <v>359</v>
      </c>
      <c r="G59" s="19" t="s">
        <v>360</v>
      </c>
      <c r="H59" s="19" t="s">
        <v>361</v>
      </c>
      <c r="I59" s="22" t="s">
        <v>26</v>
      </c>
      <c r="J59" s="22"/>
      <c r="K59" s="22"/>
      <c r="L59" s="22"/>
    </row>
    <row r="60" customFormat="false" ht="57.75" hidden="false" customHeight="true" outlineLevel="0" collapsed="false">
      <c r="A60" s="18" t="s">
        <v>362</v>
      </c>
      <c r="B60" s="19" t="s">
        <v>40</v>
      </c>
      <c r="C60" s="19" t="s">
        <v>41</v>
      </c>
      <c r="D60" s="19" t="s">
        <v>105</v>
      </c>
      <c r="E60" s="19" t="s">
        <v>363</v>
      </c>
      <c r="F60" s="21" t="s">
        <v>364</v>
      </c>
      <c r="G60" s="19" t="s">
        <v>365</v>
      </c>
      <c r="H60" s="19" t="s">
        <v>366</v>
      </c>
      <c r="I60" s="22" t="s">
        <v>26</v>
      </c>
      <c r="J60" s="22"/>
      <c r="K60" s="22"/>
      <c r="L60" s="22"/>
    </row>
    <row r="61" customFormat="false" ht="57.75" hidden="false" customHeight="true" outlineLevel="0" collapsed="false">
      <c r="A61" s="18" t="s">
        <v>367</v>
      </c>
      <c r="B61" s="19" t="s">
        <v>40</v>
      </c>
      <c r="C61" s="19" t="s">
        <v>41</v>
      </c>
      <c r="D61" s="19" t="s">
        <v>105</v>
      </c>
      <c r="E61" s="19" t="s">
        <v>368</v>
      </c>
      <c r="F61" s="21" t="s">
        <v>369</v>
      </c>
      <c r="G61" s="19" t="s">
        <v>370</v>
      </c>
      <c r="H61" s="19" t="s">
        <v>371</v>
      </c>
      <c r="I61" s="22" t="s">
        <v>26</v>
      </c>
      <c r="J61" s="22"/>
      <c r="K61" s="22"/>
      <c r="L61" s="22"/>
    </row>
    <row r="62" customFormat="false" ht="57.75" hidden="false" customHeight="true" outlineLevel="0" collapsed="false">
      <c r="A62" s="18" t="s">
        <v>372</v>
      </c>
      <c r="B62" s="19" t="s">
        <v>40</v>
      </c>
      <c r="C62" s="19" t="s">
        <v>41</v>
      </c>
      <c r="D62" s="19" t="s">
        <v>136</v>
      </c>
      <c r="E62" s="19" t="s">
        <v>373</v>
      </c>
      <c r="F62" s="21" t="s">
        <v>374</v>
      </c>
      <c r="G62" s="19" t="s">
        <v>375</v>
      </c>
      <c r="H62" s="19" t="s">
        <v>376</v>
      </c>
      <c r="I62" s="22" t="s">
        <v>26</v>
      </c>
      <c r="J62" s="22"/>
      <c r="K62" s="22"/>
      <c r="L62" s="22"/>
    </row>
    <row r="63" customFormat="false" ht="57.75" hidden="false" customHeight="true" outlineLevel="0" collapsed="false">
      <c r="A63" s="18" t="s">
        <v>377</v>
      </c>
      <c r="B63" s="19" t="s">
        <v>40</v>
      </c>
      <c r="C63" s="19" t="s">
        <v>41</v>
      </c>
      <c r="D63" s="19" t="s">
        <v>136</v>
      </c>
      <c r="E63" s="19" t="s">
        <v>378</v>
      </c>
      <c r="F63" s="21" t="s">
        <v>379</v>
      </c>
      <c r="G63" s="19" t="s">
        <v>380</v>
      </c>
      <c r="H63" s="19" t="s">
        <v>381</v>
      </c>
      <c r="I63" s="22" t="s">
        <v>26</v>
      </c>
      <c r="J63" s="22"/>
      <c r="K63" s="22"/>
      <c r="L63" s="22"/>
    </row>
    <row r="64" customFormat="false" ht="57.75" hidden="false" customHeight="true" outlineLevel="0" collapsed="false">
      <c r="A64" s="18" t="s">
        <v>382</v>
      </c>
      <c r="B64" s="19" t="s">
        <v>42</v>
      </c>
      <c r="C64" s="19" t="s">
        <v>43</v>
      </c>
      <c r="D64" s="20" t="s">
        <v>74</v>
      </c>
      <c r="E64" s="19" t="s">
        <v>147</v>
      </c>
      <c r="F64" s="21" t="s">
        <v>383</v>
      </c>
      <c r="G64" s="19" t="s">
        <v>384</v>
      </c>
      <c r="H64" s="19" t="s">
        <v>385</v>
      </c>
      <c r="I64" s="22" t="s">
        <v>26</v>
      </c>
      <c r="J64" s="22"/>
      <c r="K64" s="22"/>
      <c r="L64" s="22"/>
    </row>
    <row r="65" customFormat="false" ht="57.75" hidden="false" customHeight="true" outlineLevel="0" collapsed="false">
      <c r="A65" s="18" t="s">
        <v>386</v>
      </c>
      <c r="B65" s="19" t="s">
        <v>42</v>
      </c>
      <c r="C65" s="19" t="s">
        <v>43</v>
      </c>
      <c r="D65" s="20" t="s">
        <v>74</v>
      </c>
      <c r="E65" s="19" t="s">
        <v>387</v>
      </c>
      <c r="F65" s="21" t="s">
        <v>388</v>
      </c>
      <c r="G65" s="19" t="s">
        <v>389</v>
      </c>
      <c r="H65" s="19" t="s">
        <v>390</v>
      </c>
      <c r="I65" s="22" t="s">
        <v>26</v>
      </c>
      <c r="J65" s="22"/>
      <c r="K65" s="22"/>
      <c r="L65" s="22"/>
    </row>
    <row r="66" customFormat="false" ht="57.75" hidden="false" customHeight="true" outlineLevel="0" collapsed="false">
      <c r="A66" s="18" t="s">
        <v>391</v>
      </c>
      <c r="B66" s="19" t="s">
        <v>42</v>
      </c>
      <c r="C66" s="19" t="s">
        <v>43</v>
      </c>
      <c r="D66" s="20" t="s">
        <v>74</v>
      </c>
      <c r="E66" s="19" t="s">
        <v>392</v>
      </c>
      <c r="F66" s="21" t="s">
        <v>393</v>
      </c>
      <c r="G66" s="19" t="s">
        <v>394</v>
      </c>
      <c r="H66" s="19" t="s">
        <v>395</v>
      </c>
      <c r="I66" s="22" t="s">
        <v>26</v>
      </c>
      <c r="J66" s="22"/>
      <c r="K66" s="22"/>
      <c r="L66" s="22"/>
    </row>
    <row r="67" customFormat="false" ht="57.75" hidden="false" customHeight="true" outlineLevel="0" collapsed="false">
      <c r="A67" s="18" t="s">
        <v>396</v>
      </c>
      <c r="B67" s="19" t="s">
        <v>42</v>
      </c>
      <c r="C67" s="19" t="s">
        <v>43</v>
      </c>
      <c r="D67" s="19" t="s">
        <v>105</v>
      </c>
      <c r="E67" s="19" t="s">
        <v>397</v>
      </c>
      <c r="F67" s="21" t="s">
        <v>398</v>
      </c>
      <c r="G67" s="19" t="s">
        <v>399</v>
      </c>
      <c r="H67" s="19" t="s">
        <v>400</v>
      </c>
      <c r="I67" s="22" t="s">
        <v>26</v>
      </c>
      <c r="J67" s="22"/>
      <c r="K67" s="22"/>
      <c r="L67" s="22"/>
    </row>
    <row r="68" customFormat="false" ht="57.75" hidden="false" customHeight="true" outlineLevel="0" collapsed="false">
      <c r="A68" s="18" t="s">
        <v>401</v>
      </c>
      <c r="B68" s="19" t="s">
        <v>42</v>
      </c>
      <c r="C68" s="19" t="s">
        <v>43</v>
      </c>
      <c r="D68" s="19" t="s">
        <v>105</v>
      </c>
      <c r="E68" s="19" t="s">
        <v>402</v>
      </c>
      <c r="F68" s="21" t="s">
        <v>403</v>
      </c>
      <c r="G68" s="19" t="s">
        <v>404</v>
      </c>
      <c r="H68" s="19" t="s">
        <v>405</v>
      </c>
      <c r="I68" s="22" t="s">
        <v>26</v>
      </c>
      <c r="J68" s="22"/>
      <c r="K68" s="22"/>
      <c r="L68" s="22"/>
    </row>
    <row r="69" customFormat="false" ht="57.75" hidden="false" customHeight="true" outlineLevel="0" collapsed="false">
      <c r="A69" s="18" t="s">
        <v>406</v>
      </c>
      <c r="B69" s="19" t="s">
        <v>42</v>
      </c>
      <c r="C69" s="19" t="s">
        <v>43</v>
      </c>
      <c r="D69" s="19" t="s">
        <v>105</v>
      </c>
      <c r="E69" s="19" t="s">
        <v>407</v>
      </c>
      <c r="F69" s="21" t="s">
        <v>408</v>
      </c>
      <c r="G69" s="19" t="s">
        <v>409</v>
      </c>
      <c r="H69" s="19" t="s">
        <v>410</v>
      </c>
      <c r="I69" s="22" t="s">
        <v>26</v>
      </c>
      <c r="J69" s="22"/>
      <c r="K69" s="22"/>
      <c r="L69" s="22"/>
    </row>
    <row r="70" customFormat="false" ht="57.75" hidden="false" customHeight="true" outlineLevel="0" collapsed="false">
      <c r="A70" s="18" t="s">
        <v>411</v>
      </c>
      <c r="B70" s="19" t="s">
        <v>42</v>
      </c>
      <c r="C70" s="19" t="s">
        <v>43</v>
      </c>
      <c r="D70" s="19" t="s">
        <v>105</v>
      </c>
      <c r="E70" s="19" t="s">
        <v>412</v>
      </c>
      <c r="F70" s="21" t="s">
        <v>413</v>
      </c>
      <c r="G70" s="19" t="s">
        <v>414</v>
      </c>
      <c r="H70" s="19" t="s">
        <v>415</v>
      </c>
      <c r="I70" s="22" t="s">
        <v>26</v>
      </c>
      <c r="J70" s="22"/>
      <c r="K70" s="22"/>
      <c r="L70" s="22"/>
    </row>
    <row r="71" customFormat="false" ht="57.75" hidden="false" customHeight="true" outlineLevel="0" collapsed="false">
      <c r="A71" s="18" t="s">
        <v>416</v>
      </c>
      <c r="B71" s="19" t="s">
        <v>42</v>
      </c>
      <c r="C71" s="19" t="s">
        <v>43</v>
      </c>
      <c r="D71" s="19" t="s">
        <v>136</v>
      </c>
      <c r="E71" s="19" t="s">
        <v>417</v>
      </c>
      <c r="F71" s="21" t="s">
        <v>418</v>
      </c>
      <c r="G71" s="19" t="s">
        <v>419</v>
      </c>
      <c r="H71" s="19" t="s">
        <v>420</v>
      </c>
      <c r="I71" s="22" t="s">
        <v>26</v>
      </c>
      <c r="J71" s="22"/>
      <c r="K71" s="22"/>
      <c r="L71" s="22"/>
    </row>
    <row r="72" customFormat="false" ht="57.75" hidden="false" customHeight="true" outlineLevel="0" collapsed="false">
      <c r="A72" s="18" t="s">
        <v>421</v>
      </c>
      <c r="B72" s="19" t="s">
        <v>45</v>
      </c>
      <c r="C72" s="19" t="s">
        <v>46</v>
      </c>
      <c r="D72" s="20" t="s">
        <v>74</v>
      </c>
      <c r="E72" s="19" t="s">
        <v>422</v>
      </c>
      <c r="F72" s="21" t="s">
        <v>423</v>
      </c>
      <c r="G72" s="19" t="s">
        <v>424</v>
      </c>
      <c r="H72" s="19" t="s">
        <v>425</v>
      </c>
      <c r="I72" s="22" t="s">
        <v>26</v>
      </c>
      <c r="J72" s="22"/>
      <c r="K72" s="22"/>
      <c r="L72" s="22"/>
    </row>
    <row r="73" customFormat="false" ht="57.75" hidden="false" customHeight="true" outlineLevel="0" collapsed="false">
      <c r="A73" s="18" t="s">
        <v>426</v>
      </c>
      <c r="B73" s="19" t="s">
        <v>45</v>
      </c>
      <c r="C73" s="19" t="s">
        <v>46</v>
      </c>
      <c r="D73" s="20" t="s">
        <v>74</v>
      </c>
      <c r="E73" s="19" t="s">
        <v>427</v>
      </c>
      <c r="F73" s="21" t="s">
        <v>428</v>
      </c>
      <c r="G73" s="19" t="s">
        <v>429</v>
      </c>
      <c r="H73" s="19" t="s">
        <v>430</v>
      </c>
      <c r="I73" s="22" t="s">
        <v>26</v>
      </c>
      <c r="J73" s="22"/>
      <c r="K73" s="22"/>
      <c r="L73" s="22"/>
    </row>
    <row r="74" customFormat="false" ht="57.75" hidden="false" customHeight="true" outlineLevel="0" collapsed="false">
      <c r="A74" s="18" t="s">
        <v>431</v>
      </c>
      <c r="B74" s="19" t="s">
        <v>45</v>
      </c>
      <c r="C74" s="19" t="s">
        <v>46</v>
      </c>
      <c r="D74" s="20" t="s">
        <v>74</v>
      </c>
      <c r="E74" s="19" t="s">
        <v>432</v>
      </c>
      <c r="F74" s="21" t="s">
        <v>433</v>
      </c>
      <c r="G74" s="19" t="s">
        <v>434</v>
      </c>
      <c r="H74" s="19" t="s">
        <v>435</v>
      </c>
      <c r="I74" s="22" t="s">
        <v>26</v>
      </c>
      <c r="J74" s="22"/>
      <c r="K74" s="22"/>
      <c r="L74" s="22"/>
    </row>
    <row r="75" customFormat="false" ht="57.75" hidden="false" customHeight="true" outlineLevel="0" collapsed="false">
      <c r="A75" s="18" t="s">
        <v>436</v>
      </c>
      <c r="B75" s="19" t="s">
        <v>45</v>
      </c>
      <c r="C75" s="19" t="s">
        <v>46</v>
      </c>
      <c r="D75" s="20" t="s">
        <v>74</v>
      </c>
      <c r="E75" s="19" t="s">
        <v>437</v>
      </c>
      <c r="F75" s="21" t="s">
        <v>438</v>
      </c>
      <c r="G75" s="19" t="s">
        <v>439</v>
      </c>
      <c r="H75" s="19" t="s">
        <v>440</v>
      </c>
      <c r="I75" s="22" t="s">
        <v>26</v>
      </c>
      <c r="J75" s="22"/>
      <c r="K75" s="22"/>
      <c r="L75" s="22"/>
    </row>
    <row r="76" customFormat="false" ht="57.75" hidden="false" customHeight="true" outlineLevel="0" collapsed="false">
      <c r="A76" s="18" t="s">
        <v>441</v>
      </c>
      <c r="B76" s="19" t="s">
        <v>45</v>
      </c>
      <c r="C76" s="19" t="s">
        <v>46</v>
      </c>
      <c r="D76" s="20" t="s">
        <v>74</v>
      </c>
      <c r="E76" s="19" t="s">
        <v>442</v>
      </c>
      <c r="F76" s="21" t="s">
        <v>443</v>
      </c>
      <c r="G76" s="19" t="s">
        <v>444</v>
      </c>
      <c r="H76" s="19" t="s">
        <v>445</v>
      </c>
      <c r="I76" s="22" t="s">
        <v>26</v>
      </c>
      <c r="J76" s="22"/>
      <c r="K76" s="22"/>
      <c r="L76" s="22"/>
    </row>
    <row r="77" customFormat="false" ht="57.75" hidden="false" customHeight="true" outlineLevel="0" collapsed="false">
      <c r="A77" s="18" t="s">
        <v>446</v>
      </c>
      <c r="B77" s="19" t="s">
        <v>45</v>
      </c>
      <c r="C77" s="19" t="s">
        <v>46</v>
      </c>
      <c r="D77" s="19" t="s">
        <v>105</v>
      </c>
      <c r="E77" s="19" t="s">
        <v>447</v>
      </c>
      <c r="F77" s="21" t="s">
        <v>448</v>
      </c>
      <c r="G77" s="19" t="s">
        <v>449</v>
      </c>
      <c r="H77" s="19" t="s">
        <v>450</v>
      </c>
      <c r="I77" s="22" t="s">
        <v>26</v>
      </c>
      <c r="J77" s="22"/>
      <c r="K77" s="22"/>
      <c r="L77" s="22"/>
    </row>
    <row r="78" customFormat="false" ht="57.75" hidden="false" customHeight="true" outlineLevel="0" collapsed="false">
      <c r="A78" s="18" t="s">
        <v>451</v>
      </c>
      <c r="B78" s="19" t="s">
        <v>45</v>
      </c>
      <c r="C78" s="19" t="s">
        <v>46</v>
      </c>
      <c r="D78" s="19" t="s">
        <v>105</v>
      </c>
      <c r="E78" s="19" t="s">
        <v>452</v>
      </c>
      <c r="F78" s="21" t="s">
        <v>453</v>
      </c>
      <c r="G78" s="19" t="s">
        <v>454</v>
      </c>
      <c r="H78" s="19" t="s">
        <v>455</v>
      </c>
      <c r="I78" s="22" t="s">
        <v>26</v>
      </c>
      <c r="J78" s="22"/>
      <c r="K78" s="22"/>
      <c r="L78" s="22"/>
    </row>
    <row r="79" customFormat="false" ht="57.75" hidden="false" customHeight="true" outlineLevel="0" collapsed="false">
      <c r="A79" s="18" t="s">
        <v>456</v>
      </c>
      <c r="B79" s="19" t="s">
        <v>45</v>
      </c>
      <c r="C79" s="19" t="s">
        <v>46</v>
      </c>
      <c r="D79" s="19" t="s">
        <v>105</v>
      </c>
      <c r="E79" s="19" t="s">
        <v>457</v>
      </c>
      <c r="F79" s="21" t="s">
        <v>458</v>
      </c>
      <c r="G79" s="19" t="s">
        <v>459</v>
      </c>
      <c r="H79" s="19" t="s">
        <v>460</v>
      </c>
      <c r="I79" s="22" t="s">
        <v>26</v>
      </c>
      <c r="J79" s="22"/>
      <c r="K79" s="22"/>
      <c r="L79" s="22"/>
    </row>
    <row r="80" customFormat="false" ht="57.75" hidden="false" customHeight="true" outlineLevel="0" collapsed="false">
      <c r="A80" s="18" t="s">
        <v>461</v>
      </c>
      <c r="B80" s="19" t="s">
        <v>45</v>
      </c>
      <c r="C80" s="19" t="s">
        <v>46</v>
      </c>
      <c r="D80" s="19" t="s">
        <v>136</v>
      </c>
      <c r="E80" s="19" t="s">
        <v>462</v>
      </c>
      <c r="F80" s="21" t="s">
        <v>463</v>
      </c>
      <c r="G80" s="19" t="s">
        <v>464</v>
      </c>
      <c r="H80" s="19" t="s">
        <v>465</v>
      </c>
      <c r="I80" s="22" t="s">
        <v>26</v>
      </c>
      <c r="J80" s="22"/>
      <c r="K80" s="22"/>
      <c r="L80" s="22"/>
    </row>
    <row r="81" customFormat="false" ht="57.75" hidden="false" customHeight="true" outlineLevel="0" collapsed="false">
      <c r="A81" s="18" t="s">
        <v>466</v>
      </c>
      <c r="B81" s="19" t="s">
        <v>48</v>
      </c>
      <c r="C81" s="19" t="s">
        <v>49</v>
      </c>
      <c r="D81" s="20" t="s">
        <v>74</v>
      </c>
      <c r="E81" s="19" t="s">
        <v>467</v>
      </c>
      <c r="F81" s="21" t="s">
        <v>468</v>
      </c>
      <c r="G81" s="19" t="s">
        <v>469</v>
      </c>
      <c r="H81" s="19" t="s">
        <v>470</v>
      </c>
      <c r="I81" s="22" t="s">
        <v>26</v>
      </c>
      <c r="J81" s="22"/>
      <c r="K81" s="22"/>
      <c r="L81" s="22"/>
    </row>
    <row r="82" customFormat="false" ht="57.75" hidden="false" customHeight="true" outlineLevel="0" collapsed="false">
      <c r="A82" s="18" t="s">
        <v>471</v>
      </c>
      <c r="B82" s="19" t="s">
        <v>48</v>
      </c>
      <c r="C82" s="19" t="s">
        <v>49</v>
      </c>
      <c r="D82" s="20" t="s">
        <v>74</v>
      </c>
      <c r="E82" s="19" t="s">
        <v>472</v>
      </c>
      <c r="F82" s="21" t="s">
        <v>473</v>
      </c>
      <c r="G82" s="19" t="s">
        <v>474</v>
      </c>
      <c r="H82" s="19" t="s">
        <v>475</v>
      </c>
      <c r="I82" s="22" t="s">
        <v>26</v>
      </c>
      <c r="J82" s="22"/>
      <c r="K82" s="22"/>
      <c r="L82" s="22"/>
    </row>
    <row r="83" customFormat="false" ht="57.75" hidden="false" customHeight="true" outlineLevel="0" collapsed="false">
      <c r="A83" s="18" t="s">
        <v>476</v>
      </c>
      <c r="B83" s="19" t="s">
        <v>48</v>
      </c>
      <c r="C83" s="19" t="s">
        <v>49</v>
      </c>
      <c r="D83" s="20" t="s">
        <v>74</v>
      </c>
      <c r="E83" s="19" t="s">
        <v>472</v>
      </c>
      <c r="F83" s="21" t="s">
        <v>477</v>
      </c>
      <c r="G83" s="19" t="s">
        <v>478</v>
      </c>
      <c r="H83" s="19" t="s">
        <v>479</v>
      </c>
      <c r="I83" s="22" t="s">
        <v>26</v>
      </c>
      <c r="J83" s="22"/>
      <c r="K83" s="22"/>
      <c r="L83" s="22"/>
    </row>
    <row r="84" customFormat="false" ht="57.75" hidden="false" customHeight="true" outlineLevel="0" collapsed="false">
      <c r="A84" s="18" t="s">
        <v>480</v>
      </c>
      <c r="B84" s="19" t="s">
        <v>48</v>
      </c>
      <c r="C84" s="19" t="s">
        <v>49</v>
      </c>
      <c r="D84" s="20" t="s">
        <v>74</v>
      </c>
      <c r="E84" s="19" t="s">
        <v>481</v>
      </c>
      <c r="F84" s="21" t="s">
        <v>482</v>
      </c>
      <c r="G84" s="19" t="s">
        <v>483</v>
      </c>
      <c r="H84" s="19" t="s">
        <v>484</v>
      </c>
      <c r="I84" s="22" t="s">
        <v>26</v>
      </c>
      <c r="J84" s="22"/>
      <c r="K84" s="22"/>
      <c r="L84" s="22"/>
    </row>
    <row r="85" customFormat="false" ht="57.75" hidden="false" customHeight="true" outlineLevel="0" collapsed="false">
      <c r="A85" s="18" t="s">
        <v>485</v>
      </c>
      <c r="B85" s="19" t="s">
        <v>48</v>
      </c>
      <c r="C85" s="19" t="s">
        <v>49</v>
      </c>
      <c r="D85" s="19" t="s">
        <v>105</v>
      </c>
      <c r="E85" s="19" t="s">
        <v>486</v>
      </c>
      <c r="F85" s="21" t="s">
        <v>487</v>
      </c>
      <c r="G85" s="19" t="s">
        <v>488</v>
      </c>
      <c r="H85" s="19" t="s">
        <v>489</v>
      </c>
      <c r="I85" s="22" t="s">
        <v>26</v>
      </c>
      <c r="J85" s="22"/>
      <c r="K85" s="22"/>
      <c r="L85" s="22"/>
    </row>
    <row r="86" customFormat="false" ht="57.75" hidden="false" customHeight="true" outlineLevel="0" collapsed="false">
      <c r="A86" s="18" t="s">
        <v>490</v>
      </c>
      <c r="B86" s="19" t="s">
        <v>48</v>
      </c>
      <c r="C86" s="19" t="s">
        <v>49</v>
      </c>
      <c r="D86" s="19" t="s">
        <v>105</v>
      </c>
      <c r="E86" s="19" t="s">
        <v>491</v>
      </c>
      <c r="F86" s="21" t="s">
        <v>492</v>
      </c>
      <c r="G86" s="19" t="s">
        <v>493</v>
      </c>
      <c r="H86" s="19" t="s">
        <v>494</v>
      </c>
      <c r="I86" s="22" t="s">
        <v>26</v>
      </c>
      <c r="J86" s="22"/>
      <c r="K86" s="22"/>
      <c r="L86" s="22"/>
    </row>
    <row r="87" customFormat="false" ht="57.75" hidden="false" customHeight="true" outlineLevel="0" collapsed="false">
      <c r="A87" s="18" t="s">
        <v>495</v>
      </c>
      <c r="B87" s="19" t="s">
        <v>48</v>
      </c>
      <c r="C87" s="19" t="s">
        <v>49</v>
      </c>
      <c r="D87" s="19" t="s">
        <v>105</v>
      </c>
      <c r="E87" s="19" t="s">
        <v>496</v>
      </c>
      <c r="F87" s="21" t="s">
        <v>497</v>
      </c>
      <c r="G87" s="19" t="s">
        <v>498</v>
      </c>
      <c r="H87" s="19" t="s">
        <v>499</v>
      </c>
      <c r="I87" s="22" t="s">
        <v>26</v>
      </c>
      <c r="J87" s="22"/>
      <c r="K87" s="22"/>
      <c r="L87" s="22"/>
    </row>
    <row r="88" customFormat="false" ht="57.75" hidden="false" customHeight="true" outlineLevel="0" collapsed="false">
      <c r="A88" s="18" t="s">
        <v>500</v>
      </c>
      <c r="B88" s="19" t="s">
        <v>48</v>
      </c>
      <c r="C88" s="19" t="s">
        <v>49</v>
      </c>
      <c r="D88" s="19" t="s">
        <v>136</v>
      </c>
      <c r="E88" s="19" t="s">
        <v>501</v>
      </c>
      <c r="F88" s="21" t="s">
        <v>502</v>
      </c>
      <c r="G88" s="19" t="s">
        <v>503</v>
      </c>
      <c r="H88" s="19" t="s">
        <v>504</v>
      </c>
      <c r="I88" s="22" t="s">
        <v>26</v>
      </c>
      <c r="J88" s="22"/>
      <c r="K88" s="22"/>
      <c r="L88" s="22"/>
    </row>
    <row r="89" customFormat="false" ht="57.75" hidden="false" customHeight="true" outlineLevel="0" collapsed="false">
      <c r="A89" s="18" t="s">
        <v>505</v>
      </c>
      <c r="B89" s="19" t="s">
        <v>50</v>
      </c>
      <c r="C89" s="19" t="s">
        <v>51</v>
      </c>
      <c r="D89" s="20" t="s">
        <v>74</v>
      </c>
      <c r="E89" s="19" t="s">
        <v>506</v>
      </c>
      <c r="F89" s="21" t="s">
        <v>507</v>
      </c>
      <c r="G89" s="19" t="s">
        <v>508</v>
      </c>
      <c r="H89" s="19" t="s">
        <v>509</v>
      </c>
      <c r="I89" s="22" t="s">
        <v>26</v>
      </c>
      <c r="J89" s="22"/>
      <c r="K89" s="22"/>
      <c r="L89" s="22"/>
    </row>
    <row r="90" customFormat="false" ht="57.75" hidden="false" customHeight="true" outlineLevel="0" collapsed="false">
      <c r="A90" s="18" t="s">
        <v>510</v>
      </c>
      <c r="B90" s="19" t="s">
        <v>50</v>
      </c>
      <c r="C90" s="19" t="s">
        <v>51</v>
      </c>
      <c r="D90" s="20" t="s">
        <v>74</v>
      </c>
      <c r="E90" s="19" t="s">
        <v>511</v>
      </c>
      <c r="F90" s="21" t="s">
        <v>512</v>
      </c>
      <c r="G90" s="19" t="s">
        <v>513</v>
      </c>
      <c r="H90" s="19" t="s">
        <v>514</v>
      </c>
      <c r="I90" s="22" t="s">
        <v>26</v>
      </c>
      <c r="J90" s="22"/>
      <c r="K90" s="22"/>
      <c r="L90" s="22"/>
    </row>
    <row r="91" customFormat="false" ht="57.75" hidden="false" customHeight="true" outlineLevel="0" collapsed="false">
      <c r="A91" s="18" t="s">
        <v>515</v>
      </c>
      <c r="B91" s="19" t="s">
        <v>50</v>
      </c>
      <c r="C91" s="19" t="s">
        <v>51</v>
      </c>
      <c r="D91" s="20" t="s">
        <v>74</v>
      </c>
      <c r="E91" s="19" t="s">
        <v>516</v>
      </c>
      <c r="F91" s="21" t="s">
        <v>517</v>
      </c>
      <c r="G91" s="19" t="s">
        <v>518</v>
      </c>
      <c r="H91" s="19" t="s">
        <v>519</v>
      </c>
      <c r="I91" s="22" t="s">
        <v>26</v>
      </c>
      <c r="J91" s="22"/>
      <c r="K91" s="22"/>
      <c r="L91" s="22"/>
    </row>
    <row r="92" customFormat="false" ht="57.75" hidden="false" customHeight="true" outlineLevel="0" collapsed="false">
      <c r="A92" s="18" t="s">
        <v>520</v>
      </c>
      <c r="B92" s="19" t="s">
        <v>50</v>
      </c>
      <c r="C92" s="19" t="s">
        <v>51</v>
      </c>
      <c r="D92" s="20" t="s">
        <v>74</v>
      </c>
      <c r="E92" s="19" t="s">
        <v>521</v>
      </c>
      <c r="F92" s="21" t="s">
        <v>522</v>
      </c>
      <c r="G92" s="19" t="s">
        <v>523</v>
      </c>
      <c r="H92" s="19" t="s">
        <v>524</v>
      </c>
      <c r="I92" s="22" t="s">
        <v>26</v>
      </c>
      <c r="J92" s="22"/>
      <c r="K92" s="22"/>
      <c r="L92" s="22"/>
    </row>
    <row r="93" customFormat="false" ht="57.75" hidden="false" customHeight="true" outlineLevel="0" collapsed="false">
      <c r="A93" s="18" t="s">
        <v>525</v>
      </c>
      <c r="B93" s="19" t="s">
        <v>50</v>
      </c>
      <c r="C93" s="19" t="s">
        <v>51</v>
      </c>
      <c r="D93" s="20" t="s">
        <v>74</v>
      </c>
      <c r="E93" s="19" t="s">
        <v>526</v>
      </c>
      <c r="F93" s="21" t="s">
        <v>527</v>
      </c>
      <c r="G93" s="19" t="s">
        <v>528</v>
      </c>
      <c r="H93" s="19" t="s">
        <v>529</v>
      </c>
      <c r="I93" s="22" t="s">
        <v>26</v>
      </c>
      <c r="J93" s="22"/>
      <c r="K93" s="22"/>
      <c r="L93" s="22"/>
    </row>
    <row r="94" customFormat="false" ht="57.75" hidden="false" customHeight="true" outlineLevel="0" collapsed="false">
      <c r="A94" s="18" t="s">
        <v>530</v>
      </c>
      <c r="B94" s="19" t="s">
        <v>50</v>
      </c>
      <c r="C94" s="19" t="s">
        <v>51</v>
      </c>
      <c r="D94" s="20" t="s">
        <v>74</v>
      </c>
      <c r="E94" s="19" t="s">
        <v>531</v>
      </c>
      <c r="F94" s="21" t="s">
        <v>532</v>
      </c>
      <c r="G94" s="19" t="s">
        <v>533</v>
      </c>
      <c r="H94" s="19" t="s">
        <v>534</v>
      </c>
      <c r="I94" s="22" t="s">
        <v>26</v>
      </c>
      <c r="J94" s="22"/>
      <c r="K94" s="22"/>
      <c r="L94" s="22"/>
    </row>
    <row r="95" customFormat="false" ht="57.75" hidden="false" customHeight="true" outlineLevel="0" collapsed="false">
      <c r="A95" s="18" t="s">
        <v>535</v>
      </c>
      <c r="B95" s="19" t="s">
        <v>50</v>
      </c>
      <c r="C95" s="19" t="s">
        <v>51</v>
      </c>
      <c r="D95" s="19" t="s">
        <v>105</v>
      </c>
      <c r="E95" s="19" t="s">
        <v>536</v>
      </c>
      <c r="F95" s="21" t="s">
        <v>537</v>
      </c>
      <c r="G95" s="19" t="s">
        <v>538</v>
      </c>
      <c r="H95" s="19" t="s">
        <v>539</v>
      </c>
      <c r="I95" s="22" t="s">
        <v>26</v>
      </c>
      <c r="J95" s="22"/>
      <c r="K95" s="22"/>
      <c r="L95" s="22"/>
    </row>
    <row r="96" customFormat="false" ht="57.75" hidden="false" customHeight="true" outlineLevel="0" collapsed="false">
      <c r="A96" s="18" t="s">
        <v>540</v>
      </c>
      <c r="B96" s="19" t="s">
        <v>50</v>
      </c>
      <c r="C96" s="19" t="s">
        <v>51</v>
      </c>
      <c r="D96" s="19" t="s">
        <v>105</v>
      </c>
      <c r="E96" s="19" t="s">
        <v>541</v>
      </c>
      <c r="F96" s="21" t="s">
        <v>542</v>
      </c>
      <c r="G96" s="19" t="s">
        <v>543</v>
      </c>
      <c r="H96" s="19" t="s">
        <v>544</v>
      </c>
      <c r="I96" s="22" t="s">
        <v>26</v>
      </c>
      <c r="J96" s="22"/>
      <c r="K96" s="22"/>
      <c r="L96" s="22"/>
    </row>
    <row r="97" customFormat="false" ht="57.75" hidden="false" customHeight="true" outlineLevel="0" collapsed="false">
      <c r="A97" s="18" t="s">
        <v>545</v>
      </c>
      <c r="B97" s="19" t="s">
        <v>50</v>
      </c>
      <c r="C97" s="19" t="s">
        <v>51</v>
      </c>
      <c r="D97" s="19" t="s">
        <v>105</v>
      </c>
      <c r="E97" s="19" t="s">
        <v>546</v>
      </c>
      <c r="F97" s="21" t="s">
        <v>547</v>
      </c>
      <c r="G97" s="19" t="s">
        <v>548</v>
      </c>
      <c r="H97" s="19" t="s">
        <v>549</v>
      </c>
      <c r="I97" s="22" t="s">
        <v>26</v>
      </c>
      <c r="J97" s="22"/>
      <c r="K97" s="22"/>
      <c r="L97" s="22"/>
    </row>
    <row r="98" customFormat="false" ht="57.75" hidden="false" customHeight="true" outlineLevel="0" collapsed="false">
      <c r="A98" s="18" t="s">
        <v>550</v>
      </c>
      <c r="B98" s="19" t="s">
        <v>50</v>
      </c>
      <c r="C98" s="19" t="s">
        <v>51</v>
      </c>
      <c r="D98" s="19" t="s">
        <v>105</v>
      </c>
      <c r="E98" s="19" t="s">
        <v>551</v>
      </c>
      <c r="F98" s="21" t="s">
        <v>552</v>
      </c>
      <c r="G98" s="19" t="s">
        <v>553</v>
      </c>
      <c r="H98" s="19" t="s">
        <v>554</v>
      </c>
      <c r="I98" s="22" t="s">
        <v>26</v>
      </c>
      <c r="J98" s="22"/>
      <c r="K98" s="22"/>
      <c r="L98" s="22"/>
    </row>
    <row r="99" customFormat="false" ht="57.75" hidden="false" customHeight="true" outlineLevel="0" collapsed="false">
      <c r="A99" s="18" t="s">
        <v>555</v>
      </c>
      <c r="B99" s="19" t="s">
        <v>52</v>
      </c>
      <c r="C99" s="19" t="s">
        <v>53</v>
      </c>
      <c r="D99" s="19" t="s">
        <v>105</v>
      </c>
      <c r="E99" s="19" t="s">
        <v>556</v>
      </c>
      <c r="F99" s="21" t="s">
        <v>557</v>
      </c>
      <c r="G99" s="19" t="s">
        <v>558</v>
      </c>
      <c r="H99" s="19" t="s">
        <v>559</v>
      </c>
      <c r="I99" s="22" t="s">
        <v>26</v>
      </c>
      <c r="J99" s="22"/>
      <c r="K99" s="22"/>
      <c r="L99" s="22"/>
    </row>
    <row r="100" customFormat="false" ht="57.75" hidden="false" customHeight="true" outlineLevel="0" collapsed="false">
      <c r="A100" s="18" t="s">
        <v>560</v>
      </c>
      <c r="B100" s="19" t="s">
        <v>52</v>
      </c>
      <c r="C100" s="19" t="s">
        <v>53</v>
      </c>
      <c r="D100" s="19" t="s">
        <v>105</v>
      </c>
      <c r="E100" s="19" t="s">
        <v>561</v>
      </c>
      <c r="F100" s="21" t="s">
        <v>562</v>
      </c>
      <c r="G100" s="19" t="s">
        <v>563</v>
      </c>
      <c r="H100" s="19" t="s">
        <v>564</v>
      </c>
      <c r="I100" s="22" t="s">
        <v>26</v>
      </c>
      <c r="J100" s="22"/>
      <c r="K100" s="22"/>
      <c r="L100" s="22"/>
    </row>
    <row r="101" customFormat="false" ht="57.75" hidden="false" customHeight="true" outlineLevel="0" collapsed="false">
      <c r="A101" s="18" t="s">
        <v>565</v>
      </c>
      <c r="B101" s="19" t="s">
        <v>52</v>
      </c>
      <c r="C101" s="19" t="s">
        <v>53</v>
      </c>
      <c r="D101" s="19" t="s">
        <v>136</v>
      </c>
      <c r="E101" s="19" t="s">
        <v>566</v>
      </c>
      <c r="F101" s="21" t="s">
        <v>567</v>
      </c>
      <c r="G101" s="19" t="s">
        <v>568</v>
      </c>
      <c r="H101" s="19" t="s">
        <v>569</v>
      </c>
      <c r="I101" s="22" t="s">
        <v>26</v>
      </c>
      <c r="J101" s="22"/>
      <c r="K101" s="22"/>
      <c r="L101" s="22"/>
    </row>
    <row r="102" customFormat="false" ht="57.75" hidden="false" customHeight="true" outlineLevel="0" collapsed="false">
      <c r="A102" s="18" t="s">
        <v>570</v>
      </c>
      <c r="B102" s="19" t="s">
        <v>52</v>
      </c>
      <c r="C102" s="19" t="s">
        <v>53</v>
      </c>
      <c r="D102" s="19" t="s">
        <v>136</v>
      </c>
      <c r="E102" s="19" t="s">
        <v>571</v>
      </c>
      <c r="F102" s="21" t="s">
        <v>572</v>
      </c>
      <c r="G102" s="19" t="s">
        <v>573</v>
      </c>
      <c r="H102" s="19" t="s">
        <v>574</v>
      </c>
      <c r="I102" s="22" t="s">
        <v>26</v>
      </c>
      <c r="J102" s="22"/>
      <c r="K102" s="22"/>
      <c r="L102" s="22"/>
    </row>
    <row r="103" customFormat="false" ht="57.75" hidden="false" customHeight="true" outlineLevel="0" collapsed="false">
      <c r="A103" s="18" t="s">
        <v>575</v>
      </c>
      <c r="B103" s="19" t="s">
        <v>54</v>
      </c>
      <c r="C103" s="19" t="s">
        <v>55</v>
      </c>
      <c r="D103" s="19" t="s">
        <v>105</v>
      </c>
      <c r="E103" s="19" t="s">
        <v>576</v>
      </c>
      <c r="F103" s="21" t="s">
        <v>577</v>
      </c>
      <c r="G103" s="19" t="s">
        <v>578</v>
      </c>
      <c r="H103" s="19" t="s">
        <v>579</v>
      </c>
      <c r="I103" s="22" t="s">
        <v>26</v>
      </c>
      <c r="J103" s="22"/>
      <c r="K103" s="22"/>
      <c r="L103" s="22"/>
    </row>
    <row r="104" customFormat="false" ht="57.75" hidden="false" customHeight="true" outlineLevel="0" collapsed="false">
      <c r="A104" s="18" t="s">
        <v>580</v>
      </c>
      <c r="B104" s="19" t="s">
        <v>54</v>
      </c>
      <c r="C104" s="19" t="s">
        <v>55</v>
      </c>
      <c r="D104" s="19" t="s">
        <v>105</v>
      </c>
      <c r="E104" s="19" t="s">
        <v>581</v>
      </c>
      <c r="F104" s="21" t="s">
        <v>582</v>
      </c>
      <c r="G104" s="19" t="s">
        <v>583</v>
      </c>
      <c r="H104" s="19" t="s">
        <v>584</v>
      </c>
      <c r="I104" s="22" t="s">
        <v>26</v>
      </c>
      <c r="J104" s="22"/>
      <c r="K104" s="22"/>
      <c r="L104" s="22"/>
    </row>
    <row r="105" customFormat="false" ht="57.75" hidden="false" customHeight="true" outlineLevel="0" collapsed="false">
      <c r="A105" s="18" t="s">
        <v>585</v>
      </c>
      <c r="B105" s="19" t="s">
        <v>54</v>
      </c>
      <c r="C105" s="19" t="s">
        <v>55</v>
      </c>
      <c r="D105" s="19" t="s">
        <v>136</v>
      </c>
      <c r="E105" s="19" t="s">
        <v>586</v>
      </c>
      <c r="F105" s="21" t="s">
        <v>587</v>
      </c>
      <c r="G105" s="19" t="s">
        <v>588</v>
      </c>
      <c r="H105" s="19" t="s">
        <v>589</v>
      </c>
      <c r="I105" s="22" t="s">
        <v>26</v>
      </c>
      <c r="J105" s="22"/>
      <c r="K105" s="22"/>
      <c r="L105" s="22"/>
    </row>
    <row r="106" customFormat="false" ht="57.75" hidden="false" customHeight="true" outlineLevel="0" collapsed="false">
      <c r="A106" s="18" t="s">
        <v>590</v>
      </c>
      <c r="B106" s="19" t="s">
        <v>56</v>
      </c>
      <c r="C106" s="19" t="s">
        <v>57</v>
      </c>
      <c r="D106" s="20" t="s">
        <v>74</v>
      </c>
      <c r="E106" s="19" t="s">
        <v>591</v>
      </c>
      <c r="F106" s="21" t="s">
        <v>592</v>
      </c>
      <c r="G106" s="19" t="s">
        <v>593</v>
      </c>
      <c r="H106" s="19" t="s">
        <v>594</v>
      </c>
      <c r="I106" s="22" t="s">
        <v>26</v>
      </c>
      <c r="J106" s="22"/>
      <c r="K106" s="22"/>
      <c r="L106" s="22"/>
    </row>
    <row r="107" customFormat="false" ht="57.75" hidden="false" customHeight="true" outlineLevel="0" collapsed="false">
      <c r="A107" s="18" t="s">
        <v>595</v>
      </c>
      <c r="B107" s="19" t="s">
        <v>56</v>
      </c>
      <c r="C107" s="19" t="s">
        <v>57</v>
      </c>
      <c r="D107" s="20" t="s">
        <v>74</v>
      </c>
      <c r="E107" s="19" t="s">
        <v>596</v>
      </c>
      <c r="F107" s="21" t="s">
        <v>597</v>
      </c>
      <c r="G107" s="19" t="s">
        <v>598</v>
      </c>
      <c r="H107" s="19" t="s">
        <v>599</v>
      </c>
      <c r="I107" s="22" t="s">
        <v>26</v>
      </c>
      <c r="J107" s="22"/>
      <c r="K107" s="22"/>
      <c r="L107" s="22"/>
    </row>
    <row r="108" customFormat="false" ht="57.75" hidden="false" customHeight="true" outlineLevel="0" collapsed="false">
      <c r="A108" s="18" t="s">
        <v>600</v>
      </c>
      <c r="B108" s="19" t="s">
        <v>56</v>
      </c>
      <c r="C108" s="19" t="s">
        <v>57</v>
      </c>
      <c r="D108" s="20" t="s">
        <v>74</v>
      </c>
      <c r="E108" s="19" t="s">
        <v>601</v>
      </c>
      <c r="F108" s="21" t="s">
        <v>602</v>
      </c>
      <c r="G108" s="19" t="s">
        <v>603</v>
      </c>
      <c r="H108" s="19" t="s">
        <v>604</v>
      </c>
      <c r="I108" s="22" t="s">
        <v>26</v>
      </c>
      <c r="J108" s="22"/>
      <c r="K108" s="22"/>
      <c r="L108" s="22"/>
    </row>
    <row r="109" customFormat="false" ht="57.75" hidden="false" customHeight="true" outlineLevel="0" collapsed="false">
      <c r="A109" s="18" t="s">
        <v>605</v>
      </c>
      <c r="B109" s="19" t="s">
        <v>56</v>
      </c>
      <c r="C109" s="19" t="s">
        <v>57</v>
      </c>
      <c r="D109" s="20" t="s">
        <v>74</v>
      </c>
      <c r="E109" s="19" t="s">
        <v>606</v>
      </c>
      <c r="F109" s="21" t="s">
        <v>607</v>
      </c>
      <c r="G109" s="19" t="s">
        <v>608</v>
      </c>
      <c r="H109" s="19" t="s">
        <v>609</v>
      </c>
      <c r="I109" s="22" t="s">
        <v>26</v>
      </c>
      <c r="J109" s="22"/>
      <c r="K109" s="22"/>
      <c r="L109" s="22"/>
    </row>
    <row r="110" customFormat="false" ht="57.75" hidden="false" customHeight="true" outlineLevel="0" collapsed="false">
      <c r="A110" s="18" t="s">
        <v>610</v>
      </c>
      <c r="B110" s="19" t="s">
        <v>56</v>
      </c>
      <c r="C110" s="19" t="s">
        <v>57</v>
      </c>
      <c r="D110" s="19" t="s">
        <v>105</v>
      </c>
      <c r="E110" s="19" t="s">
        <v>611</v>
      </c>
      <c r="F110" s="21" t="s">
        <v>612</v>
      </c>
      <c r="G110" s="19" t="s">
        <v>613</v>
      </c>
      <c r="H110" s="19" t="s">
        <v>614</v>
      </c>
      <c r="I110" s="22" t="s">
        <v>26</v>
      </c>
      <c r="J110" s="22"/>
      <c r="K110" s="22"/>
      <c r="L110" s="22"/>
    </row>
    <row r="111" customFormat="false" ht="57.75" hidden="false" customHeight="true" outlineLevel="0" collapsed="false">
      <c r="A111" s="18" t="s">
        <v>615</v>
      </c>
      <c r="B111" s="19" t="s">
        <v>56</v>
      </c>
      <c r="C111" s="19" t="s">
        <v>57</v>
      </c>
      <c r="D111" s="19" t="s">
        <v>105</v>
      </c>
      <c r="E111" s="19" t="s">
        <v>616</v>
      </c>
      <c r="F111" s="21" t="s">
        <v>617</v>
      </c>
      <c r="G111" s="19" t="s">
        <v>618</v>
      </c>
      <c r="H111" s="19" t="s">
        <v>619</v>
      </c>
      <c r="I111" s="22" t="s">
        <v>26</v>
      </c>
      <c r="J111" s="22"/>
      <c r="K111" s="22"/>
      <c r="L111" s="22"/>
    </row>
    <row r="112" customFormat="false" ht="57.75" hidden="false" customHeight="true" outlineLevel="0" collapsed="false">
      <c r="A112" s="18" t="s">
        <v>620</v>
      </c>
      <c r="B112" s="19" t="s">
        <v>56</v>
      </c>
      <c r="C112" s="19" t="s">
        <v>57</v>
      </c>
      <c r="D112" s="19" t="s">
        <v>105</v>
      </c>
      <c r="E112" s="19" t="s">
        <v>621</v>
      </c>
      <c r="F112" s="21" t="s">
        <v>622</v>
      </c>
      <c r="G112" s="19" t="s">
        <v>623</v>
      </c>
      <c r="H112" s="19" t="s">
        <v>624</v>
      </c>
      <c r="I112" s="22" t="s">
        <v>26</v>
      </c>
      <c r="J112" s="22"/>
      <c r="K112" s="22"/>
      <c r="L112" s="22"/>
    </row>
    <row r="113" customFormat="false" ht="57.75" hidden="false" customHeight="true" outlineLevel="0" collapsed="false">
      <c r="A113" s="18" t="s">
        <v>625</v>
      </c>
      <c r="B113" s="19" t="s">
        <v>56</v>
      </c>
      <c r="C113" s="19" t="s">
        <v>57</v>
      </c>
      <c r="D113" s="19" t="s">
        <v>105</v>
      </c>
      <c r="E113" s="19" t="s">
        <v>626</v>
      </c>
      <c r="F113" s="21" t="s">
        <v>627</v>
      </c>
      <c r="G113" s="19" t="s">
        <v>628</v>
      </c>
      <c r="H113" s="19" t="s">
        <v>629</v>
      </c>
      <c r="I113" s="22" t="s">
        <v>26</v>
      </c>
      <c r="J113" s="22"/>
      <c r="K113" s="22"/>
      <c r="L113" s="22"/>
    </row>
    <row r="114" customFormat="false" ht="57.75" hidden="false" customHeight="true" outlineLevel="0" collapsed="false">
      <c r="A114" s="18" t="s">
        <v>630</v>
      </c>
      <c r="B114" s="19" t="s">
        <v>56</v>
      </c>
      <c r="C114" s="19" t="s">
        <v>57</v>
      </c>
      <c r="D114" s="19" t="s">
        <v>136</v>
      </c>
      <c r="E114" s="19" t="s">
        <v>631</v>
      </c>
      <c r="F114" s="21" t="s">
        <v>632</v>
      </c>
      <c r="G114" s="19" t="s">
        <v>633</v>
      </c>
      <c r="H114" s="19" t="s">
        <v>634</v>
      </c>
      <c r="I114" s="22" t="s">
        <v>26</v>
      </c>
      <c r="J114" s="22"/>
      <c r="K114" s="22"/>
      <c r="L114" s="22"/>
    </row>
    <row r="115" customFormat="false" ht="57.75" hidden="false" customHeight="true" outlineLevel="0" collapsed="false">
      <c r="A115" s="18" t="s">
        <v>635</v>
      </c>
      <c r="B115" s="19" t="s">
        <v>56</v>
      </c>
      <c r="C115" s="19" t="s">
        <v>57</v>
      </c>
      <c r="D115" s="20" t="s">
        <v>74</v>
      </c>
      <c r="E115" s="19" t="s">
        <v>636</v>
      </c>
      <c r="F115" s="21" t="s">
        <v>637</v>
      </c>
      <c r="G115" s="19" t="s">
        <v>638</v>
      </c>
      <c r="H115" s="19" t="s">
        <v>639</v>
      </c>
      <c r="I115" s="22" t="s">
        <v>26</v>
      </c>
      <c r="J115" s="22"/>
      <c r="K115" s="22"/>
      <c r="L115" s="22"/>
    </row>
    <row r="116" customFormat="false" ht="57.75" hidden="false" customHeight="true" outlineLevel="0" collapsed="false">
      <c r="A116" s="18" t="s">
        <v>640</v>
      </c>
      <c r="B116" s="19" t="s">
        <v>58</v>
      </c>
      <c r="C116" s="19" t="s">
        <v>59</v>
      </c>
      <c r="D116" s="20" t="s">
        <v>74</v>
      </c>
      <c r="E116" s="19" t="s">
        <v>641</v>
      </c>
      <c r="F116" s="21" t="s">
        <v>642</v>
      </c>
      <c r="G116" s="19" t="s">
        <v>643</v>
      </c>
      <c r="H116" s="19" t="s">
        <v>644</v>
      </c>
      <c r="I116" s="22" t="s">
        <v>26</v>
      </c>
      <c r="J116" s="22"/>
      <c r="K116" s="22"/>
      <c r="L116" s="22"/>
    </row>
    <row r="117" customFormat="false" ht="57.75" hidden="false" customHeight="true" outlineLevel="0" collapsed="false">
      <c r="A117" s="18" t="s">
        <v>645</v>
      </c>
      <c r="B117" s="19" t="s">
        <v>58</v>
      </c>
      <c r="C117" s="19" t="s">
        <v>59</v>
      </c>
      <c r="D117" s="20" t="s">
        <v>74</v>
      </c>
      <c r="E117" s="19" t="s">
        <v>646</v>
      </c>
      <c r="F117" s="21" t="s">
        <v>647</v>
      </c>
      <c r="G117" s="19" t="s">
        <v>648</v>
      </c>
      <c r="H117" s="19" t="s">
        <v>649</v>
      </c>
      <c r="I117" s="22" t="s">
        <v>26</v>
      </c>
      <c r="J117" s="22"/>
      <c r="K117" s="22"/>
      <c r="L117" s="22"/>
    </row>
    <row r="118" customFormat="false" ht="57.75" hidden="false" customHeight="true" outlineLevel="0" collapsed="false">
      <c r="A118" s="18" t="s">
        <v>650</v>
      </c>
      <c r="B118" s="19" t="s">
        <v>58</v>
      </c>
      <c r="C118" s="19" t="s">
        <v>59</v>
      </c>
      <c r="D118" s="20" t="s">
        <v>74</v>
      </c>
      <c r="E118" s="19" t="s">
        <v>651</v>
      </c>
      <c r="F118" s="21" t="s">
        <v>652</v>
      </c>
      <c r="G118" s="19" t="s">
        <v>653</v>
      </c>
      <c r="H118" s="19" t="s">
        <v>654</v>
      </c>
      <c r="I118" s="22" t="s">
        <v>26</v>
      </c>
      <c r="J118" s="22"/>
      <c r="K118" s="22"/>
      <c r="L118" s="22"/>
    </row>
    <row r="119" customFormat="false" ht="57.75" hidden="false" customHeight="true" outlineLevel="0" collapsed="false">
      <c r="A119" s="18" t="s">
        <v>655</v>
      </c>
      <c r="B119" s="19" t="s">
        <v>58</v>
      </c>
      <c r="C119" s="19" t="s">
        <v>59</v>
      </c>
      <c r="D119" s="20" t="s">
        <v>74</v>
      </c>
      <c r="E119" s="19" t="s">
        <v>656</v>
      </c>
      <c r="F119" s="21" t="s">
        <v>657</v>
      </c>
      <c r="G119" s="19" t="s">
        <v>658</v>
      </c>
      <c r="H119" s="19" t="s">
        <v>659</v>
      </c>
      <c r="I119" s="22" t="s">
        <v>26</v>
      </c>
      <c r="J119" s="22"/>
      <c r="K119" s="22"/>
      <c r="L119" s="22"/>
    </row>
    <row r="120" customFormat="false" ht="57.75" hidden="false" customHeight="true" outlineLevel="0" collapsed="false">
      <c r="A120" s="18" t="s">
        <v>660</v>
      </c>
      <c r="B120" s="19" t="s">
        <v>58</v>
      </c>
      <c r="C120" s="19" t="s">
        <v>59</v>
      </c>
      <c r="D120" s="20" t="s">
        <v>74</v>
      </c>
      <c r="E120" s="19" t="s">
        <v>661</v>
      </c>
      <c r="F120" s="21" t="s">
        <v>662</v>
      </c>
      <c r="G120" s="19" t="s">
        <v>663</v>
      </c>
      <c r="H120" s="19" t="s">
        <v>664</v>
      </c>
      <c r="I120" s="22" t="s">
        <v>26</v>
      </c>
      <c r="J120" s="22"/>
      <c r="K120" s="22"/>
      <c r="L120" s="22"/>
    </row>
    <row r="121" customFormat="false" ht="57.75" hidden="false" customHeight="true" outlineLevel="0" collapsed="false">
      <c r="A121" s="18" t="s">
        <v>665</v>
      </c>
      <c r="B121" s="19" t="s">
        <v>58</v>
      </c>
      <c r="C121" s="19" t="s">
        <v>59</v>
      </c>
      <c r="D121" s="19" t="s">
        <v>105</v>
      </c>
      <c r="E121" s="19" t="s">
        <v>666</v>
      </c>
      <c r="F121" s="21" t="s">
        <v>667</v>
      </c>
      <c r="G121" s="19" t="s">
        <v>668</v>
      </c>
      <c r="H121" s="19" t="s">
        <v>669</v>
      </c>
      <c r="I121" s="22" t="s">
        <v>26</v>
      </c>
      <c r="J121" s="22"/>
      <c r="K121" s="22"/>
      <c r="L121" s="22"/>
    </row>
    <row r="122" customFormat="false" ht="57.75" hidden="false" customHeight="true" outlineLevel="0" collapsed="false">
      <c r="A122" s="18" t="s">
        <v>670</v>
      </c>
      <c r="B122" s="19" t="s">
        <v>58</v>
      </c>
      <c r="C122" s="19" t="s">
        <v>59</v>
      </c>
      <c r="D122" s="19" t="s">
        <v>105</v>
      </c>
      <c r="E122" s="19" t="s">
        <v>671</v>
      </c>
      <c r="F122" s="21" t="s">
        <v>672</v>
      </c>
      <c r="G122" s="19" t="s">
        <v>673</v>
      </c>
      <c r="H122" s="19" t="s">
        <v>674</v>
      </c>
      <c r="I122" s="22" t="s">
        <v>26</v>
      </c>
      <c r="J122" s="22"/>
      <c r="K122" s="22"/>
      <c r="L122" s="22"/>
    </row>
    <row r="123" customFormat="false" ht="57.75" hidden="false" customHeight="true" outlineLevel="0" collapsed="false">
      <c r="A123" s="18" t="s">
        <v>675</v>
      </c>
      <c r="B123" s="19" t="s">
        <v>58</v>
      </c>
      <c r="C123" s="19" t="s">
        <v>59</v>
      </c>
      <c r="D123" s="19" t="s">
        <v>105</v>
      </c>
      <c r="E123" s="19" t="s">
        <v>676</v>
      </c>
      <c r="F123" s="21" t="s">
        <v>677</v>
      </c>
      <c r="G123" s="19" t="s">
        <v>678</v>
      </c>
      <c r="H123" s="19" t="s">
        <v>679</v>
      </c>
      <c r="I123" s="22" t="s">
        <v>26</v>
      </c>
      <c r="J123" s="22"/>
      <c r="K123" s="22"/>
      <c r="L123" s="22"/>
    </row>
    <row r="124" customFormat="false" ht="57.75" hidden="false" customHeight="true" outlineLevel="0" collapsed="false">
      <c r="A124" s="18" t="s">
        <v>680</v>
      </c>
      <c r="B124" s="19" t="s">
        <v>60</v>
      </c>
      <c r="C124" s="19" t="s">
        <v>61</v>
      </c>
      <c r="D124" s="20" t="s">
        <v>74</v>
      </c>
      <c r="E124" s="19" t="s">
        <v>681</v>
      </c>
      <c r="F124" s="21" t="s">
        <v>682</v>
      </c>
      <c r="G124" s="19" t="s">
        <v>683</v>
      </c>
      <c r="H124" s="19" t="s">
        <v>684</v>
      </c>
      <c r="I124" s="22" t="s">
        <v>26</v>
      </c>
      <c r="J124" s="22"/>
      <c r="K124" s="22"/>
      <c r="L124" s="22"/>
    </row>
    <row r="125" customFormat="false" ht="57.75" hidden="false" customHeight="true" outlineLevel="0" collapsed="false">
      <c r="A125" s="18" t="s">
        <v>685</v>
      </c>
      <c r="B125" s="19" t="s">
        <v>60</v>
      </c>
      <c r="C125" s="19" t="s">
        <v>61</v>
      </c>
      <c r="D125" s="20" t="s">
        <v>74</v>
      </c>
      <c r="E125" s="19" t="s">
        <v>686</v>
      </c>
      <c r="F125" s="21" t="s">
        <v>687</v>
      </c>
      <c r="G125" s="19" t="s">
        <v>688</v>
      </c>
      <c r="H125" s="19" t="s">
        <v>689</v>
      </c>
      <c r="I125" s="22" t="s">
        <v>26</v>
      </c>
      <c r="J125" s="22"/>
      <c r="K125" s="22"/>
      <c r="L125" s="22"/>
    </row>
    <row r="126" customFormat="false" ht="57.75" hidden="false" customHeight="true" outlineLevel="0" collapsed="false">
      <c r="A126" s="18" t="s">
        <v>690</v>
      </c>
      <c r="B126" s="19" t="s">
        <v>60</v>
      </c>
      <c r="C126" s="19" t="s">
        <v>61</v>
      </c>
      <c r="D126" s="20" t="s">
        <v>74</v>
      </c>
      <c r="E126" s="19" t="s">
        <v>691</v>
      </c>
      <c r="F126" s="21" t="s">
        <v>692</v>
      </c>
      <c r="G126" s="19" t="s">
        <v>693</v>
      </c>
      <c r="H126" s="19" t="s">
        <v>694</v>
      </c>
      <c r="I126" s="22" t="s">
        <v>26</v>
      </c>
      <c r="J126" s="22"/>
      <c r="K126" s="22"/>
      <c r="L126" s="22"/>
    </row>
    <row r="127" customFormat="false" ht="57.75" hidden="false" customHeight="true" outlineLevel="0" collapsed="false">
      <c r="A127" s="18" t="s">
        <v>695</v>
      </c>
      <c r="B127" s="19" t="s">
        <v>60</v>
      </c>
      <c r="C127" s="19" t="s">
        <v>61</v>
      </c>
      <c r="D127" s="20" t="s">
        <v>74</v>
      </c>
      <c r="E127" s="19" t="s">
        <v>696</v>
      </c>
      <c r="F127" s="21" t="s">
        <v>697</v>
      </c>
      <c r="G127" s="19" t="s">
        <v>698</v>
      </c>
      <c r="H127" s="19" t="s">
        <v>699</v>
      </c>
      <c r="I127" s="22" t="s">
        <v>26</v>
      </c>
      <c r="J127" s="22"/>
      <c r="K127" s="22"/>
      <c r="L127" s="22"/>
    </row>
    <row r="128" customFormat="false" ht="57.75" hidden="false" customHeight="true" outlineLevel="0" collapsed="false">
      <c r="A128" s="18" t="s">
        <v>700</v>
      </c>
      <c r="B128" s="19" t="s">
        <v>60</v>
      </c>
      <c r="C128" s="19" t="s">
        <v>61</v>
      </c>
      <c r="D128" s="20" t="s">
        <v>74</v>
      </c>
      <c r="E128" s="19" t="s">
        <v>701</v>
      </c>
      <c r="F128" s="21" t="s">
        <v>702</v>
      </c>
      <c r="G128" s="19" t="s">
        <v>703</v>
      </c>
      <c r="H128" s="19" t="s">
        <v>704</v>
      </c>
      <c r="I128" s="22" t="s">
        <v>26</v>
      </c>
      <c r="J128" s="22"/>
      <c r="K128" s="22"/>
      <c r="L128" s="22"/>
    </row>
    <row r="129" customFormat="false" ht="57.75" hidden="false" customHeight="true" outlineLevel="0" collapsed="false">
      <c r="A129" s="18" t="s">
        <v>705</v>
      </c>
      <c r="B129" s="19" t="s">
        <v>60</v>
      </c>
      <c r="C129" s="19" t="s">
        <v>61</v>
      </c>
      <c r="D129" s="19" t="s">
        <v>105</v>
      </c>
      <c r="E129" s="19" t="s">
        <v>706</v>
      </c>
      <c r="F129" s="21" t="s">
        <v>707</v>
      </c>
      <c r="G129" s="19" t="s">
        <v>708</v>
      </c>
      <c r="H129" s="19" t="s">
        <v>709</v>
      </c>
      <c r="I129" s="22" t="s">
        <v>26</v>
      </c>
      <c r="J129" s="22"/>
      <c r="K129" s="22"/>
      <c r="L129" s="22"/>
    </row>
    <row r="130" customFormat="false" ht="57.75" hidden="false" customHeight="true" outlineLevel="0" collapsed="false">
      <c r="A130" s="18" t="s">
        <v>710</v>
      </c>
      <c r="B130" s="19" t="s">
        <v>60</v>
      </c>
      <c r="C130" s="19" t="s">
        <v>61</v>
      </c>
      <c r="D130" s="19" t="s">
        <v>105</v>
      </c>
      <c r="E130" s="19" t="s">
        <v>711</v>
      </c>
      <c r="F130" s="21" t="s">
        <v>712</v>
      </c>
      <c r="G130" s="19" t="s">
        <v>713</v>
      </c>
      <c r="H130" s="19" t="s">
        <v>714</v>
      </c>
      <c r="I130" s="22" t="s">
        <v>26</v>
      </c>
      <c r="J130" s="22"/>
      <c r="K130" s="22"/>
      <c r="L130" s="22"/>
    </row>
    <row r="131" customFormat="false" ht="57.75" hidden="false" customHeight="true" outlineLevel="0" collapsed="false">
      <c r="A131" s="18" t="s">
        <v>715</v>
      </c>
      <c r="B131" s="19" t="s">
        <v>60</v>
      </c>
      <c r="C131" s="19" t="s">
        <v>61</v>
      </c>
      <c r="D131" s="19" t="s">
        <v>105</v>
      </c>
      <c r="E131" s="19" t="s">
        <v>716</v>
      </c>
      <c r="F131" s="21" t="s">
        <v>717</v>
      </c>
      <c r="G131" s="19" t="s">
        <v>718</v>
      </c>
      <c r="H131" s="19" t="s">
        <v>719</v>
      </c>
      <c r="I131" s="22" t="s">
        <v>26</v>
      </c>
      <c r="J131" s="22"/>
      <c r="K131" s="22"/>
      <c r="L131" s="22"/>
    </row>
    <row r="132" customFormat="false" ht="57.75" hidden="false" customHeight="true" outlineLevel="0" collapsed="false">
      <c r="A132" s="18" t="s">
        <v>720</v>
      </c>
      <c r="B132" s="19" t="s">
        <v>62</v>
      </c>
      <c r="C132" s="19" t="s">
        <v>63</v>
      </c>
      <c r="D132" s="20" t="s">
        <v>74</v>
      </c>
      <c r="E132" s="19" t="s">
        <v>721</v>
      </c>
      <c r="F132" s="21" t="s">
        <v>722</v>
      </c>
      <c r="G132" s="19" t="s">
        <v>723</v>
      </c>
      <c r="H132" s="19" t="s">
        <v>724</v>
      </c>
      <c r="I132" s="22" t="s">
        <v>26</v>
      </c>
      <c r="J132" s="22"/>
      <c r="K132" s="22"/>
      <c r="L132" s="22"/>
    </row>
    <row r="133" customFormat="false" ht="57.75" hidden="false" customHeight="true" outlineLevel="0" collapsed="false">
      <c r="A133" s="18" t="s">
        <v>725</v>
      </c>
      <c r="B133" s="19" t="s">
        <v>62</v>
      </c>
      <c r="C133" s="19" t="s">
        <v>63</v>
      </c>
      <c r="D133" s="20" t="s">
        <v>74</v>
      </c>
      <c r="E133" s="19" t="s">
        <v>726</v>
      </c>
      <c r="F133" s="21" t="s">
        <v>727</v>
      </c>
      <c r="G133" s="19" t="s">
        <v>728</v>
      </c>
      <c r="H133" s="19" t="s">
        <v>729</v>
      </c>
      <c r="I133" s="22" t="s">
        <v>26</v>
      </c>
      <c r="J133" s="22"/>
      <c r="K133" s="22"/>
      <c r="L133" s="22"/>
    </row>
    <row r="134" customFormat="false" ht="57.75" hidden="false" customHeight="true" outlineLevel="0" collapsed="false">
      <c r="A134" s="18" t="s">
        <v>730</v>
      </c>
      <c r="B134" s="19" t="s">
        <v>62</v>
      </c>
      <c r="C134" s="19" t="s">
        <v>63</v>
      </c>
      <c r="D134" s="20" t="s">
        <v>74</v>
      </c>
      <c r="E134" s="19" t="s">
        <v>731</v>
      </c>
      <c r="F134" s="21" t="s">
        <v>732</v>
      </c>
      <c r="G134" s="19" t="s">
        <v>733</v>
      </c>
      <c r="H134" s="19" t="s">
        <v>734</v>
      </c>
      <c r="I134" s="22" t="s">
        <v>26</v>
      </c>
      <c r="J134" s="22"/>
      <c r="K134" s="22"/>
      <c r="L134" s="22"/>
    </row>
    <row r="135" customFormat="false" ht="57.75" hidden="false" customHeight="true" outlineLevel="0" collapsed="false">
      <c r="A135" s="18" t="s">
        <v>735</v>
      </c>
      <c r="B135" s="19" t="s">
        <v>62</v>
      </c>
      <c r="C135" s="19" t="s">
        <v>63</v>
      </c>
      <c r="D135" s="20" t="s">
        <v>74</v>
      </c>
      <c r="E135" s="19" t="s">
        <v>736</v>
      </c>
      <c r="F135" s="21" t="s">
        <v>737</v>
      </c>
      <c r="G135" s="19" t="s">
        <v>738</v>
      </c>
      <c r="H135" s="19" t="s">
        <v>739</v>
      </c>
      <c r="I135" s="22" t="s">
        <v>26</v>
      </c>
      <c r="J135" s="22"/>
      <c r="K135" s="22"/>
      <c r="L135" s="22"/>
    </row>
    <row r="136" customFormat="false" ht="57.75" hidden="false" customHeight="true" outlineLevel="0" collapsed="false">
      <c r="A136" s="18" t="s">
        <v>740</v>
      </c>
      <c r="B136" s="19" t="s">
        <v>62</v>
      </c>
      <c r="C136" s="19" t="s">
        <v>63</v>
      </c>
      <c r="D136" s="20" t="s">
        <v>74</v>
      </c>
      <c r="E136" s="19" t="s">
        <v>741</v>
      </c>
      <c r="F136" s="21" t="s">
        <v>742</v>
      </c>
      <c r="G136" s="19" t="s">
        <v>743</v>
      </c>
      <c r="H136" s="19" t="s">
        <v>744</v>
      </c>
      <c r="I136" s="22" t="s">
        <v>26</v>
      </c>
      <c r="J136" s="22"/>
      <c r="K136" s="22"/>
      <c r="L136" s="22"/>
    </row>
    <row r="137" customFormat="false" ht="57.75" hidden="false" customHeight="true" outlineLevel="0" collapsed="false">
      <c r="A137" s="18" t="s">
        <v>745</v>
      </c>
      <c r="B137" s="19" t="s">
        <v>62</v>
      </c>
      <c r="C137" s="19" t="s">
        <v>63</v>
      </c>
      <c r="D137" s="20" t="s">
        <v>74</v>
      </c>
      <c r="E137" s="19" t="s">
        <v>746</v>
      </c>
      <c r="F137" s="21" t="s">
        <v>747</v>
      </c>
      <c r="G137" s="19" t="s">
        <v>748</v>
      </c>
      <c r="H137" s="19" t="s">
        <v>749</v>
      </c>
      <c r="I137" s="22" t="s">
        <v>26</v>
      </c>
      <c r="J137" s="22"/>
      <c r="K137" s="22"/>
      <c r="L137" s="22"/>
    </row>
    <row r="138" customFormat="false" ht="57.75" hidden="false" customHeight="true" outlineLevel="0" collapsed="false">
      <c r="A138" s="18" t="s">
        <v>750</v>
      </c>
      <c r="B138" s="19" t="s">
        <v>62</v>
      </c>
      <c r="C138" s="19" t="s">
        <v>63</v>
      </c>
      <c r="D138" s="19" t="s">
        <v>105</v>
      </c>
      <c r="E138" s="19" t="s">
        <v>751</v>
      </c>
      <c r="F138" s="21" t="s">
        <v>752</v>
      </c>
      <c r="G138" s="19" t="s">
        <v>753</v>
      </c>
      <c r="H138" s="19" t="s">
        <v>754</v>
      </c>
      <c r="I138" s="22" t="s">
        <v>26</v>
      </c>
      <c r="J138" s="22"/>
      <c r="K138" s="22"/>
      <c r="L138" s="22"/>
    </row>
    <row r="139" customFormat="false" ht="57.75" hidden="false" customHeight="true" outlineLevel="0" collapsed="false">
      <c r="A139" s="18" t="s">
        <v>755</v>
      </c>
      <c r="B139" s="19" t="s">
        <v>62</v>
      </c>
      <c r="C139" s="19" t="s">
        <v>63</v>
      </c>
      <c r="D139" s="19" t="s">
        <v>105</v>
      </c>
      <c r="E139" s="19" t="s">
        <v>756</v>
      </c>
      <c r="F139" s="21" t="s">
        <v>757</v>
      </c>
      <c r="G139" s="19" t="s">
        <v>758</v>
      </c>
      <c r="H139" s="19" t="s">
        <v>759</v>
      </c>
      <c r="I139" s="22" t="s">
        <v>26</v>
      </c>
      <c r="J139" s="22"/>
      <c r="K139" s="22"/>
      <c r="L139" s="22"/>
    </row>
    <row r="140" customFormat="false" ht="57.75" hidden="false" customHeight="true" outlineLevel="0" collapsed="false">
      <c r="A140" s="18" t="s">
        <v>760</v>
      </c>
      <c r="B140" s="19" t="s">
        <v>62</v>
      </c>
      <c r="C140" s="19" t="s">
        <v>63</v>
      </c>
      <c r="D140" s="19" t="s">
        <v>136</v>
      </c>
      <c r="E140" s="19" t="s">
        <v>761</v>
      </c>
      <c r="F140" s="21" t="s">
        <v>762</v>
      </c>
      <c r="G140" s="19" t="s">
        <v>763</v>
      </c>
      <c r="H140" s="19" t="s">
        <v>764</v>
      </c>
      <c r="I140" s="22" t="s">
        <v>26</v>
      </c>
      <c r="J140" s="22"/>
      <c r="K140" s="22"/>
      <c r="L140" s="22"/>
    </row>
  </sheetData>
  <autoFilter ref="A1:L140"/>
  <dataValidations count="1">
    <dataValidation allowBlank="true" error="Choisir un statut dans la liste." errorStyle="stop" operator="between" showDropDown="false" showErrorMessage="false" showInputMessage="false" sqref="I2:I140" type="list">
      <formula1>"À tester,OK,KO,Bloqué,Non applicable"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0"/>
    <col collapsed="false" customWidth="true" hidden="false" outlineLevel="0" max="3" min="3" style="0" width="24"/>
    <col collapsed="false" customWidth="true" hidden="false" outlineLevel="0" max="4" min="4" style="0" width="5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8" min="7" style="0" width="16"/>
    <col collapsed="false" customWidth="true" hidden="false" outlineLevel="0" max="9" min="9" style="0" width="12"/>
    <col collapsed="false" customWidth="true" hidden="false" outlineLevel="0" max="10" min="10" style="0" width="16"/>
  </cols>
  <sheetData>
    <row r="1" customFormat="false" ht="25.5" hidden="false" customHeight="true" outlineLevel="0" collapsed="false">
      <c r="A1" s="23" t="s">
        <v>765</v>
      </c>
      <c r="B1" s="23" t="s">
        <v>766</v>
      </c>
      <c r="C1" s="23" t="s">
        <v>21</v>
      </c>
      <c r="D1" s="23" t="s">
        <v>767</v>
      </c>
      <c r="E1" s="23" t="s">
        <v>768</v>
      </c>
      <c r="F1" s="23" t="s">
        <v>769</v>
      </c>
      <c r="G1" s="23" t="s">
        <v>770</v>
      </c>
      <c r="H1" s="23" t="s">
        <v>17</v>
      </c>
      <c r="I1" s="23" t="s">
        <v>771</v>
      </c>
      <c r="J1" s="23" t="s">
        <v>772</v>
      </c>
    </row>
    <row r="2" customFormat="false" ht="33.75" hidden="false" customHeight="true" outlineLevel="0" collapsed="false">
      <c r="A2" s="24" t="n">
        <v>1</v>
      </c>
      <c r="B2" s="24" t="s">
        <v>294</v>
      </c>
      <c r="C2" s="24" t="s">
        <v>38</v>
      </c>
      <c r="D2" s="24" t="s">
        <v>773</v>
      </c>
      <c r="E2" s="24" t="s">
        <v>774</v>
      </c>
      <c r="F2" s="24" t="s">
        <v>775</v>
      </c>
      <c r="G2" s="24" t="s">
        <v>776</v>
      </c>
      <c r="H2" s="24" t="s">
        <v>777</v>
      </c>
      <c r="I2" s="24"/>
      <c r="J2" s="24"/>
    </row>
    <row r="3" customFormat="false" ht="15" hidden="false" customHeight="false" outlineLevel="0" collapsed="false">
      <c r="A3" s="7" t="s">
        <v>778</v>
      </c>
    </row>
  </sheetData>
  <autoFilter ref="A1:J200"/>
  <dataValidations count="2">
    <dataValidation allowBlank="true" errorStyle="stop" operator="between" showDropDown="false" showErrorMessage="false" showInputMessage="false" sqref="E2:E200" type="list">
      <formula1>"Bloquante,Majeure,Mineure,Cosmétique"</formula1>
      <formula2>0</formula2>
    </dataValidation>
    <dataValidation allowBlank="true" errorStyle="stop" operator="between" showDropDown="false" showErrorMessage="false" showInputMessage="false" sqref="H2:H200" type="list">
      <formula1>"Ouverte,En cours,Corrigée,Vérifiée,Rejetée"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B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00"/>
  </cols>
  <sheetData>
    <row r="2" customFormat="false" ht="18.55" hidden="false" customHeight="false" outlineLevel="0" collapsed="false">
      <c r="B2" s="25" t="s">
        <v>779</v>
      </c>
    </row>
    <row r="3" customFormat="false" ht="30" hidden="false" customHeight="true" outlineLevel="0" collapsed="false">
      <c r="B3" s="26"/>
    </row>
    <row r="4" customFormat="false" ht="15" hidden="false" customHeight="false" outlineLevel="0" collapsed="false">
      <c r="B4" s="27" t="s">
        <v>780</v>
      </c>
    </row>
    <row r="5" customFormat="false" ht="30" hidden="false" customHeight="true" outlineLevel="0" collapsed="false">
      <c r="B5" s="26" t="s">
        <v>781</v>
      </c>
    </row>
    <row r="6" customFormat="false" ht="30" hidden="false" customHeight="true" outlineLevel="0" collapsed="false">
      <c r="B6" s="26"/>
    </row>
    <row r="7" customFormat="false" ht="15" hidden="false" customHeight="false" outlineLevel="0" collapsed="false">
      <c r="B7" s="27" t="s">
        <v>782</v>
      </c>
    </row>
    <row r="8" customFormat="false" ht="30" hidden="false" customHeight="true" outlineLevel="0" collapsed="false">
      <c r="B8" s="26" t="s">
        <v>783</v>
      </c>
    </row>
    <row r="9" customFormat="false" ht="30" hidden="false" customHeight="true" outlineLevel="0" collapsed="false">
      <c r="B9" s="26" t="s">
        <v>784</v>
      </c>
    </row>
    <row r="10" customFormat="false" ht="30" hidden="false" customHeight="true" outlineLevel="0" collapsed="false">
      <c r="B10" s="26"/>
    </row>
    <row r="11" customFormat="false" ht="15" hidden="false" customHeight="false" outlineLevel="0" collapsed="false">
      <c r="B11" s="27" t="s">
        <v>785</v>
      </c>
    </row>
    <row r="12" customFormat="false" ht="30" hidden="false" customHeight="true" outlineLevel="0" collapsed="false">
      <c r="B12" s="26" t="s">
        <v>786</v>
      </c>
    </row>
    <row r="13" customFormat="false" ht="30" hidden="false" customHeight="true" outlineLevel="0" collapsed="false">
      <c r="B13" s="26" t="s">
        <v>787</v>
      </c>
    </row>
    <row r="14" customFormat="false" ht="30" hidden="false" customHeight="true" outlineLevel="0" collapsed="false">
      <c r="B14" s="26"/>
    </row>
    <row r="15" customFormat="false" ht="15" hidden="false" customHeight="false" outlineLevel="0" collapsed="false">
      <c r="B15" s="27" t="s">
        <v>788</v>
      </c>
    </row>
    <row r="16" customFormat="false" ht="30" hidden="false" customHeight="true" outlineLevel="0" collapsed="false">
      <c r="B16" s="26" t="s">
        <v>789</v>
      </c>
    </row>
    <row r="17" customFormat="false" ht="30" hidden="false" customHeight="true" outlineLevel="0" collapsed="false">
      <c r="B17" s="26"/>
    </row>
    <row r="18" customFormat="false" ht="15" hidden="false" customHeight="false" outlineLevel="0" collapsed="false">
      <c r="B18" s="27" t="s">
        <v>790</v>
      </c>
    </row>
    <row r="19" customFormat="false" ht="30" hidden="false" customHeight="true" outlineLevel="0" collapsed="false">
      <c r="B19" s="26" t="s">
        <v>791</v>
      </c>
    </row>
    <row r="20" customFormat="false" ht="30" hidden="false" customHeight="true" outlineLevel="0" collapsed="false">
      <c r="B20" s="26"/>
    </row>
    <row r="21" customFormat="false" ht="15" hidden="false" customHeight="false" outlineLevel="0" collapsed="false">
      <c r="B21" s="27" t="s">
        <v>792</v>
      </c>
    </row>
    <row r="22" customFormat="false" ht="30" hidden="false" customHeight="true" outlineLevel="0" collapsed="false">
      <c r="B22" s="26" t="s">
        <v>793</v>
      </c>
    </row>
    <row r="23" customFormat="false" ht="30" hidden="false" customHeight="true" outlineLevel="0" collapsed="false">
      <c r="B23" s="26" t="s">
        <v>794</v>
      </c>
    </row>
    <row r="24" customFormat="false" ht="30" hidden="false" customHeight="true" outlineLevel="0" collapsed="false">
      <c r="B24" s="26" t="s">
        <v>795</v>
      </c>
    </row>
    <row r="25" customFormat="false" ht="30" hidden="false" customHeight="true" outlineLevel="0" collapsed="false">
      <c r="B25" s="26"/>
    </row>
    <row r="26" customFormat="false" ht="15" hidden="false" customHeight="false" outlineLevel="0" collapsed="false">
      <c r="B26" s="7" t="s">
        <v>796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2026-10-11T09:04:14Z</dcterms:created>
  <dc:creator>openpyxl</dc:creator>
  <dc:description/>
  <dc:language>en-US</dc:language>
  <cp:lastModifiedBy/>
  <dcterms:modified xsi:type="dcterms:W3CDTF">2026-10-11T09:04:14Z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